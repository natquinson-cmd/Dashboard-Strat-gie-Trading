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6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uinson\Desktop\Claude\"/>
    </mc:Choice>
  </mc:AlternateContent>
  <xr:revisionPtr revIDLastSave="0" documentId="13_ncr:1_{729460C9-227F-4077-8D2E-FC1357E7B2B1}" xr6:coauthVersionLast="47" xr6:coauthVersionMax="47" xr10:uidLastSave="{00000000-0000-0000-0000-000000000000}"/>
  <bookViews>
    <workbookView xWindow="-108" yWindow="-108" windowWidth="23256" windowHeight="13896" firstSheet="3" activeTab="6" xr2:uid="{00000000-000D-0000-FFFF-FFFF00000000}"/>
  </bookViews>
  <sheets>
    <sheet name="RMM" sheetId="1" r:id="rId1"/>
    <sheet name="Plan investissement" sheetId="2" r:id="rId2"/>
    <sheet name="Propriétés interessantes" sheetId="3" r:id="rId3"/>
    <sheet name="Comparaison loyer" sheetId="4" r:id="rId4"/>
    <sheet name="Risk managment" sheetId="9" r:id="rId5"/>
    <sheet name="Lendermarket" sheetId="10" r:id="rId6"/>
    <sheet name="Emprunt - Performance" sheetId="5" r:id="rId7"/>
  </sheets>
  <definedNames>
    <definedName name="_xlnm._FilterDatabase" localSheetId="2" hidden="1">'Propriétés interessantes'!$A$1:$E$19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0" i="5" l="1"/>
  <c r="AL47" i="5"/>
  <c r="M20" i="10"/>
  <c r="M19" i="10"/>
  <c r="N18" i="10"/>
  <c r="N19" i="10"/>
  <c r="N17" i="10"/>
  <c r="AK10" i="5"/>
  <c r="AK47" i="5"/>
  <c r="AJ10" i="5"/>
  <c r="AJ47" i="5"/>
  <c r="B5" i="10"/>
  <c r="B4" i="5" s="1"/>
  <c r="J21" i="10"/>
  <c r="K17" i="10"/>
  <c r="K18" i="10"/>
  <c r="K19" i="10"/>
  <c r="D18" i="10"/>
  <c r="D17" i="10"/>
  <c r="D19" i="10"/>
  <c r="AI47" i="5"/>
  <c r="AI10" i="5"/>
  <c r="E19" i="10"/>
  <c r="AH47" i="5"/>
  <c r="AH10" i="5"/>
  <c r="AG47" i="5"/>
  <c r="AG10" i="5"/>
  <c r="AF10" i="5"/>
  <c r="AF47" i="5"/>
  <c r="D3" i="10"/>
  <c r="D4" i="10"/>
  <c r="D5" i="10"/>
  <c r="H4" i="5" s="1"/>
  <c r="H9" i="5" s="1"/>
  <c r="B3" i="10"/>
  <c r="B4" i="10"/>
  <c r="C6" i="10"/>
  <c r="AE10" i="5"/>
  <c r="AE47" i="5"/>
  <c r="E7" i="5"/>
  <c r="E8" i="5"/>
  <c r="E6" i="5"/>
  <c r="AD10" i="5"/>
  <c r="AD47" i="5"/>
  <c r="AC47" i="5"/>
  <c r="AC10" i="5"/>
  <c r="AB47" i="5"/>
  <c r="AB10" i="5"/>
  <c r="I3" i="5"/>
  <c r="Z10" i="5"/>
  <c r="AA10" i="5"/>
  <c r="Z47" i="5"/>
  <c r="AA47" i="5"/>
  <c r="Y10" i="5"/>
  <c r="E5" i="5"/>
  <c r="Y47" i="5"/>
  <c r="E3" i="5"/>
  <c r="X10" i="5"/>
  <c r="X47" i="5"/>
  <c r="W10" i="5"/>
  <c r="W47" i="5"/>
  <c r="D10" i="9"/>
  <c r="D12" i="9" s="1"/>
  <c r="H20" i="9"/>
  <c r="D8" i="9"/>
  <c r="C17" i="9" s="1"/>
  <c r="H17" i="9"/>
  <c r="H16" i="9"/>
  <c r="C14" i="9"/>
  <c r="V47" i="5"/>
  <c r="V10" i="5"/>
  <c r="C10" i="9"/>
  <c r="C20" i="9"/>
  <c r="C19" i="9"/>
  <c r="C18" i="9"/>
  <c r="U47" i="5"/>
  <c r="U10" i="5"/>
  <c r="T10" i="5"/>
  <c r="T47" i="5"/>
  <c r="S10" i="5"/>
  <c r="S47" i="5"/>
  <c r="R47" i="5"/>
  <c r="R10" i="5"/>
  <c r="Q10" i="5"/>
  <c r="Q47" i="5"/>
  <c r="P47" i="5"/>
  <c r="P10" i="5"/>
  <c r="O47" i="5"/>
  <c r="N47" i="5"/>
  <c r="M47" i="5"/>
  <c r="O10" i="5"/>
  <c r="C9" i="5"/>
  <c r="C11" i="5" s="1"/>
  <c r="N10" i="5"/>
  <c r="M10" i="5"/>
  <c r="I6" i="5"/>
  <c r="I8" i="5"/>
  <c r="E10" i="5"/>
  <c r="H3" i="4"/>
  <c r="I3" i="4"/>
  <c r="H4" i="4"/>
  <c r="I4" i="4"/>
  <c r="H5" i="4"/>
  <c r="I5" i="4"/>
  <c r="H6" i="4"/>
  <c r="H7" i="4"/>
  <c r="I7" i="4"/>
  <c r="H8" i="4"/>
  <c r="H9" i="4"/>
  <c r="H10" i="4"/>
  <c r="H11" i="4"/>
  <c r="I11" i="4"/>
  <c r="H12" i="4"/>
  <c r="I12" i="4"/>
  <c r="H13" i="4"/>
  <c r="I13" i="4"/>
  <c r="H14" i="4"/>
  <c r="H15" i="4"/>
  <c r="I15" i="4"/>
  <c r="H16" i="4"/>
  <c r="I16" i="4"/>
  <c r="H17" i="4"/>
  <c r="H18" i="4"/>
  <c r="I18" i="4"/>
  <c r="H19" i="4"/>
  <c r="I19" i="4"/>
  <c r="H20" i="4"/>
  <c r="I20" i="4"/>
  <c r="H21" i="4"/>
  <c r="H22" i="4"/>
  <c r="H23" i="4"/>
  <c r="I23" i="4"/>
  <c r="H24" i="4"/>
  <c r="I24" i="4"/>
  <c r="H25" i="4"/>
  <c r="H26" i="4"/>
  <c r="H27" i="4"/>
  <c r="I27" i="4"/>
  <c r="H28" i="4"/>
  <c r="I28" i="4"/>
  <c r="H29" i="4"/>
  <c r="H30" i="4"/>
  <c r="I30" i="4"/>
  <c r="H31" i="4"/>
  <c r="I31" i="4"/>
  <c r="H32" i="4"/>
  <c r="I32" i="4"/>
  <c r="H33" i="4"/>
  <c r="I33" i="4"/>
  <c r="H34" i="4"/>
  <c r="H35" i="4"/>
  <c r="I35" i="4"/>
  <c r="H36" i="4"/>
  <c r="I36" i="4"/>
  <c r="H37" i="4"/>
  <c r="I37" i="4"/>
  <c r="H38" i="4"/>
  <c r="H39" i="4"/>
  <c r="I39" i="4"/>
  <c r="H40" i="4"/>
  <c r="I40" i="4"/>
  <c r="H41" i="4"/>
  <c r="H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H51" i="4"/>
  <c r="I51" i="4"/>
  <c r="H52" i="4"/>
  <c r="I52" i="4"/>
  <c r="H53" i="4"/>
  <c r="I53" i="4"/>
  <c r="H54" i="4"/>
  <c r="H55" i="4"/>
  <c r="I55" i="4"/>
  <c r="H56" i="4"/>
  <c r="I56" i="4"/>
  <c r="H57" i="4"/>
  <c r="H58" i="4"/>
  <c r="H59" i="4"/>
  <c r="I59" i="4"/>
  <c r="H60" i="4"/>
  <c r="I60" i="4"/>
  <c r="H61" i="4"/>
  <c r="H62" i="4"/>
  <c r="H63" i="4"/>
  <c r="I63" i="4"/>
  <c r="H64" i="4"/>
  <c r="I64" i="4"/>
  <c r="H65" i="4"/>
  <c r="I65" i="4"/>
  <c r="H66" i="4"/>
  <c r="H67" i="4"/>
  <c r="I67" i="4"/>
  <c r="H68" i="4"/>
  <c r="I68" i="4"/>
  <c r="H69" i="4"/>
  <c r="H70" i="4"/>
  <c r="H71" i="4"/>
  <c r="I71" i="4"/>
  <c r="H72" i="4"/>
  <c r="I72" i="4"/>
  <c r="H73" i="4"/>
  <c r="H74" i="4"/>
  <c r="H75" i="4"/>
  <c r="I75" i="4"/>
  <c r="H76" i="4"/>
  <c r="I76" i="4"/>
  <c r="H77" i="4"/>
  <c r="H78" i="4"/>
  <c r="I78" i="4"/>
  <c r="H79" i="4"/>
  <c r="I79" i="4"/>
  <c r="H80" i="4"/>
  <c r="I80" i="4"/>
  <c r="H81" i="4"/>
  <c r="I81" i="4"/>
  <c r="H82" i="4"/>
  <c r="H2" i="4"/>
  <c r="I2" i="4"/>
  <c r="I6" i="4"/>
  <c r="I8" i="4"/>
  <c r="I9" i="4"/>
  <c r="I10" i="4"/>
  <c r="I14" i="4"/>
  <c r="I17" i="4"/>
  <c r="I21" i="4"/>
  <c r="I22" i="4"/>
  <c r="I25" i="4"/>
  <c r="I26" i="4"/>
  <c r="I29" i="4"/>
  <c r="I34" i="4"/>
  <c r="I38" i="4"/>
  <c r="I41" i="4"/>
  <c r="I42" i="4"/>
  <c r="I50" i="4"/>
  <c r="I54" i="4"/>
  <c r="I57" i="4"/>
  <c r="I58" i="4"/>
  <c r="I61" i="4"/>
  <c r="I62" i="4"/>
  <c r="I66" i="4"/>
  <c r="I69" i="4"/>
  <c r="I70" i="4"/>
  <c r="I73" i="4"/>
  <c r="I74" i="4"/>
  <c r="I77" i="4"/>
  <c r="I82" i="4"/>
  <c r="E42" i="3"/>
  <c r="C2" i="2"/>
  <c r="E2" i="2" s="1"/>
  <c r="F2" i="2" s="1"/>
  <c r="D6" i="2" s="1"/>
  <c r="E6" i="2" s="1"/>
  <c r="F6" i="2" s="1"/>
  <c r="C7" i="2" s="1"/>
  <c r="E18" i="3"/>
  <c r="E40" i="3"/>
  <c r="E36" i="3"/>
  <c r="E39" i="3"/>
  <c r="E38" i="3"/>
  <c r="E37" i="3"/>
  <c r="E34" i="3"/>
  <c r="E33" i="3"/>
  <c r="E32" i="3"/>
  <c r="E31" i="3"/>
  <c r="F8" i="1"/>
  <c r="E28" i="3"/>
  <c r="E29" i="3"/>
  <c r="E30" i="3"/>
  <c r="E27" i="3"/>
  <c r="E26" i="3"/>
  <c r="E24" i="3"/>
  <c r="E25" i="3"/>
  <c r="E23" i="3"/>
  <c r="E22" i="3"/>
  <c r="E21" i="3"/>
  <c r="E17" i="3"/>
  <c r="E16" i="3"/>
  <c r="E15" i="3"/>
  <c r="E14" i="3"/>
  <c r="E2" i="3"/>
  <c r="E3" i="3"/>
  <c r="E4" i="3"/>
  <c r="E5" i="3"/>
  <c r="E6" i="3"/>
  <c r="E7" i="3"/>
  <c r="E8" i="3"/>
  <c r="E9" i="3"/>
  <c r="E10" i="3"/>
  <c r="E11" i="3"/>
  <c r="E12" i="3"/>
  <c r="E13" i="3"/>
  <c r="K14" i="1"/>
  <c r="K16" i="1"/>
  <c r="K18" i="1"/>
  <c r="K20" i="1"/>
  <c r="K22" i="1"/>
  <c r="K24" i="1"/>
  <c r="K25" i="1"/>
  <c r="K26" i="1"/>
  <c r="K28" i="1"/>
  <c r="N28" i="1"/>
  <c r="K30" i="1"/>
  <c r="K32" i="1"/>
  <c r="N32" i="1"/>
  <c r="K12" i="1"/>
  <c r="U35" i="1"/>
  <c r="S35" i="1"/>
  <c r="D35" i="1"/>
  <c r="W34" i="1"/>
  <c r="V34" i="1"/>
  <c r="M34" i="1"/>
  <c r="G34" i="1"/>
  <c r="K33" i="1"/>
  <c r="F34" i="1"/>
  <c r="W33" i="1"/>
  <c r="V33" i="1"/>
  <c r="M33" i="1"/>
  <c r="G33" i="1"/>
  <c r="F33" i="1"/>
  <c r="W32" i="1"/>
  <c r="V32" i="1"/>
  <c r="M32" i="1"/>
  <c r="G32" i="1"/>
  <c r="K31" i="1"/>
  <c r="F32" i="1"/>
  <c r="W31" i="1"/>
  <c r="V31" i="1"/>
  <c r="M31" i="1"/>
  <c r="G31" i="1"/>
  <c r="F31" i="1"/>
  <c r="W30" i="1"/>
  <c r="V30" i="1"/>
  <c r="M30" i="1"/>
  <c r="N30" i="1"/>
  <c r="G30" i="1"/>
  <c r="K29" i="1"/>
  <c r="F30" i="1"/>
  <c r="W29" i="1"/>
  <c r="V29" i="1"/>
  <c r="M29" i="1"/>
  <c r="G29" i="1"/>
  <c r="F29" i="1"/>
  <c r="W28" i="1"/>
  <c r="V28" i="1"/>
  <c r="M28" i="1"/>
  <c r="G28" i="1"/>
  <c r="K27" i="1"/>
  <c r="F28" i="1"/>
  <c r="W27" i="1"/>
  <c r="V27" i="1"/>
  <c r="M27" i="1"/>
  <c r="G27" i="1"/>
  <c r="F27" i="1"/>
  <c r="W26" i="1"/>
  <c r="V26" i="1"/>
  <c r="M26" i="1"/>
  <c r="G26" i="1"/>
  <c r="F26" i="1"/>
  <c r="W25" i="1"/>
  <c r="V25" i="1"/>
  <c r="M25" i="1"/>
  <c r="N25" i="1"/>
  <c r="G25" i="1"/>
  <c r="F25" i="1"/>
  <c r="W24" i="1"/>
  <c r="V24" i="1"/>
  <c r="M24" i="1"/>
  <c r="G24" i="1"/>
  <c r="K23" i="1"/>
  <c r="F24" i="1"/>
  <c r="W23" i="1"/>
  <c r="V23" i="1"/>
  <c r="M23" i="1"/>
  <c r="G23" i="1"/>
  <c r="F23" i="1"/>
  <c r="W22" i="1"/>
  <c r="V22" i="1"/>
  <c r="M22" i="1"/>
  <c r="G22" i="1"/>
  <c r="K21" i="1"/>
  <c r="N21" i="1"/>
  <c r="F22" i="1"/>
  <c r="B2" i="1"/>
  <c r="B1" i="1"/>
  <c r="B4" i="1" s="1"/>
  <c r="W21" i="1"/>
  <c r="V21" i="1"/>
  <c r="M21" i="1"/>
  <c r="O21" i="1"/>
  <c r="G21" i="1"/>
  <c r="F21" i="1"/>
  <c r="W20" i="1"/>
  <c r="V20" i="1"/>
  <c r="M20" i="1"/>
  <c r="G20" i="1"/>
  <c r="K19" i="1"/>
  <c r="F20" i="1"/>
  <c r="W19" i="1"/>
  <c r="V19" i="1"/>
  <c r="M19" i="1"/>
  <c r="G19" i="1"/>
  <c r="F19" i="1"/>
  <c r="W18" i="1"/>
  <c r="V18" i="1"/>
  <c r="M18" i="1"/>
  <c r="G18" i="1"/>
  <c r="K17" i="1"/>
  <c r="F18" i="1"/>
  <c r="W17" i="1"/>
  <c r="V17" i="1"/>
  <c r="M17" i="1"/>
  <c r="G17" i="1"/>
  <c r="F17" i="1"/>
  <c r="W16" i="1"/>
  <c r="V16" i="1"/>
  <c r="M16" i="1"/>
  <c r="N16" i="1"/>
  <c r="G16" i="1"/>
  <c r="K15" i="1"/>
  <c r="F16" i="1"/>
  <c r="W15" i="1"/>
  <c r="V15" i="1"/>
  <c r="M15" i="1"/>
  <c r="G15" i="1"/>
  <c r="F15" i="1"/>
  <c r="W14" i="1"/>
  <c r="V14" i="1"/>
  <c r="M14" i="1"/>
  <c r="N14" i="1"/>
  <c r="G14" i="1"/>
  <c r="K13" i="1"/>
  <c r="F14" i="1"/>
  <c r="W13" i="1"/>
  <c r="V13" i="1"/>
  <c r="M13" i="1"/>
  <c r="G13" i="1"/>
  <c r="F13" i="1"/>
  <c r="W12" i="1"/>
  <c r="V12" i="1"/>
  <c r="M12" i="1"/>
  <c r="G12" i="1"/>
  <c r="K11" i="1"/>
  <c r="F12" i="1"/>
  <c r="W11" i="1"/>
  <c r="V11" i="1"/>
  <c r="M11" i="1"/>
  <c r="G11" i="1"/>
  <c r="K10" i="1"/>
  <c r="N10" i="1"/>
  <c r="F11" i="1"/>
  <c r="W10" i="1"/>
  <c r="V10" i="1"/>
  <c r="M10" i="1"/>
  <c r="O10" i="1"/>
  <c r="G10" i="1"/>
  <c r="K9" i="1"/>
  <c r="F10" i="1"/>
  <c r="W9" i="1"/>
  <c r="V9" i="1"/>
  <c r="M9" i="1"/>
  <c r="G9" i="1"/>
  <c r="K8" i="1"/>
  <c r="F9" i="1"/>
  <c r="W8" i="1"/>
  <c r="V8" i="1"/>
  <c r="M8" i="1"/>
  <c r="G8" i="1"/>
  <c r="N18" i="1"/>
  <c r="N26" i="1"/>
  <c r="N34" i="1"/>
  <c r="O34" i="1"/>
  <c r="N20" i="1"/>
  <c r="N24" i="1"/>
  <c r="O24" i="1"/>
  <c r="N15" i="1"/>
  <c r="O15" i="1"/>
  <c r="N31" i="1"/>
  <c r="O31" i="1"/>
  <c r="O22" i="1"/>
  <c r="N22" i="1"/>
  <c r="K35" i="1"/>
  <c r="N8" i="1"/>
  <c r="N12" i="1"/>
  <c r="O12" i="1"/>
  <c r="N9" i="1"/>
  <c r="O9" i="1"/>
  <c r="N33" i="1"/>
  <c r="O33" i="1"/>
  <c r="N17" i="1"/>
  <c r="O17" i="1"/>
  <c r="N27" i="1"/>
  <c r="O27" i="1"/>
  <c r="G35" i="1"/>
  <c r="E1" i="1"/>
  <c r="N13" i="1"/>
  <c r="O13" i="1"/>
  <c r="N19" i="1"/>
  <c r="O19" i="1"/>
  <c r="N29" i="1"/>
  <c r="O29" i="1"/>
  <c r="O25" i="1"/>
  <c r="O20" i="1"/>
  <c r="O32" i="1"/>
  <c r="O18" i="1"/>
  <c r="F35" i="1"/>
  <c r="O30" i="1"/>
  <c r="V35" i="1"/>
  <c r="N11" i="1"/>
  <c r="O11" i="1"/>
  <c r="O28" i="1"/>
  <c r="O16" i="1"/>
  <c r="I83" i="4"/>
  <c r="W35" i="1"/>
  <c r="N23" i="1"/>
  <c r="O23" i="1"/>
  <c r="O26" i="1"/>
  <c r="O14" i="1"/>
  <c r="E2" i="1"/>
  <c r="N35" i="1"/>
  <c r="E3" i="1"/>
  <c r="O8" i="1"/>
  <c r="O35" i="1"/>
  <c r="G2" i="1"/>
  <c r="G3" i="1"/>
  <c r="D14" i="9"/>
  <c r="H18" i="9"/>
  <c r="F9" i="5" l="1"/>
  <c r="E17" i="10"/>
  <c r="E18" i="10"/>
  <c r="E9" i="5"/>
  <c r="E11" i="5" s="1"/>
  <c r="F11" i="5" s="1"/>
  <c r="B9" i="5"/>
  <c r="I9" i="5" s="1"/>
  <c r="I4" i="5"/>
  <c r="D7" i="2"/>
  <c r="E7" i="2" s="1"/>
  <c r="F7" i="2" s="1"/>
  <c r="C8" i="2" s="1"/>
  <c r="D19" i="9"/>
  <c r="D18" i="9"/>
  <c r="D20" i="9"/>
  <c r="B3" i="1"/>
  <c r="E4" i="1"/>
  <c r="J2" i="1"/>
  <c r="J3" i="1"/>
  <c r="J4" i="1" s="1"/>
  <c r="G9" i="5" l="1"/>
  <c r="B11" i="5"/>
  <c r="D9" i="5"/>
  <c r="D8" i="2"/>
  <c r="E8" i="2" s="1"/>
  <c r="F8" i="2" s="1"/>
  <c r="C9" i="2" s="1"/>
  <c r="D11" i="5" l="1"/>
  <c r="B15" i="5"/>
  <c r="G11" i="5"/>
  <c r="D9" i="2"/>
  <c r="E9" i="2" s="1"/>
  <c r="F9" i="2" s="1"/>
  <c r="C10" i="2" s="1"/>
  <c r="D10" i="2" l="1"/>
  <c r="E10" i="2" s="1"/>
  <c r="F10" i="2" s="1"/>
  <c r="C11" i="2" s="1"/>
  <c r="D11" i="2" l="1"/>
  <c r="E11" i="2" s="1"/>
  <c r="F11" i="2" s="1"/>
  <c r="C12" i="2" s="1"/>
  <c r="D12" i="2" l="1"/>
  <c r="E12" i="2" s="1"/>
  <c r="F12" i="2" s="1"/>
  <c r="C13" i="2" s="1"/>
  <c r="D13" i="2" l="1"/>
  <c r="E13" i="2" s="1"/>
  <c r="F13" i="2" s="1"/>
  <c r="C14" i="2" s="1"/>
  <c r="D14" i="2" l="1"/>
  <c r="E14" i="2" s="1"/>
  <c r="F14" i="2" s="1"/>
  <c r="C15" i="2" s="1"/>
  <c r="D15" i="2" l="1"/>
  <c r="E15" i="2" s="1"/>
  <c r="F15" i="2" s="1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 s="1"/>
  <c r="C21" i="2" s="1"/>
  <c r="D21" i="2" l="1"/>
  <c r="E21" i="2" s="1"/>
  <c r="F21" i="2" s="1"/>
  <c r="C22" i="2" s="1"/>
  <c r="D22" i="2" l="1"/>
  <c r="E22" i="2" s="1"/>
  <c r="F22" i="2" s="1"/>
  <c r="C23" i="2" s="1"/>
  <c r="D23" i="2" l="1"/>
  <c r="E23" i="2" s="1"/>
  <c r="F23" i="2" s="1"/>
  <c r="C24" i="2" s="1"/>
  <c r="D24" i="2" l="1"/>
  <c r="E24" i="2" s="1"/>
  <c r="F24" i="2" s="1"/>
  <c r="C25" i="2" s="1"/>
  <c r="D25" i="2" l="1"/>
  <c r="E25" i="2" s="1"/>
  <c r="F25" i="2" s="1"/>
  <c r="C26" i="2" s="1"/>
  <c r="D26" i="2" l="1"/>
  <c r="E26" i="2" s="1"/>
  <c r="F26" i="2" s="1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 s="1"/>
  <c r="C32" i="2" s="1"/>
  <c r="D32" i="2" l="1"/>
  <c r="E32" i="2" s="1"/>
  <c r="F32" i="2" s="1"/>
  <c r="C33" i="2" s="1"/>
  <c r="D33" i="2" l="1"/>
  <c r="E33" i="2" s="1"/>
  <c r="F33" i="2" s="1"/>
  <c r="C34" i="2" s="1"/>
  <c r="D34" i="2" l="1"/>
  <c r="E34" i="2" s="1"/>
  <c r="F34" i="2" s="1"/>
  <c r="C35" i="2" s="1"/>
  <c r="D35" i="2" l="1"/>
  <c r="E35" i="2" s="1"/>
  <c r="F35" i="2" s="1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 s="1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 s="1"/>
  <c r="C43" i="2" s="1"/>
  <c r="D43" i="2" l="1"/>
  <c r="E43" i="2" s="1"/>
  <c r="F43" i="2" s="1"/>
  <c r="C44" i="2" s="1"/>
  <c r="D44" i="2" l="1"/>
  <c r="E44" i="2" s="1"/>
  <c r="F44" i="2" s="1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 s="1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 s="1"/>
  <c r="C55" i="2" s="1"/>
  <c r="H6" i="2" l="1"/>
  <c r="D55" i="2"/>
  <c r="E55" i="2" l="1"/>
  <c r="I6" i="2"/>
  <c r="J6" i="2" l="1"/>
  <c r="F55" i="2"/>
  <c r="K6" i="2" l="1"/>
  <c r="C56" i="2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 s="1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 s="1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 s="1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s="1"/>
  <c r="F68" i="2" s="1"/>
  <c r="C69" i="2" s="1"/>
  <c r="D69" i="2" l="1"/>
  <c r="E69" i="2" s="1"/>
  <c r="F69" i="2" s="1"/>
  <c r="C70" i="2" s="1"/>
  <c r="D70" i="2" l="1"/>
  <c r="E70" i="2" s="1"/>
  <c r="F70" i="2" s="1"/>
  <c r="C71" i="2" s="1"/>
  <c r="D71" i="2" l="1"/>
  <c r="E71" i="2" s="1"/>
  <c r="F71" i="2" s="1"/>
  <c r="C72" i="2" s="1"/>
  <c r="D72" i="2" l="1"/>
  <c r="E72" i="2" s="1"/>
  <c r="F72" i="2" s="1"/>
  <c r="C73" i="2" s="1"/>
  <c r="D73" i="2" l="1"/>
  <c r="E73" i="2" s="1"/>
  <c r="F73" i="2" s="1"/>
  <c r="C74" i="2" s="1"/>
  <c r="D74" i="2" l="1"/>
  <c r="E74" i="2" s="1"/>
  <c r="F74" i="2" s="1"/>
  <c r="C75" i="2" s="1"/>
  <c r="D75" i="2" l="1"/>
  <c r="E75" i="2" s="1"/>
  <c r="F75" i="2" s="1"/>
  <c r="C76" i="2" s="1"/>
  <c r="D76" i="2" l="1"/>
  <c r="E76" i="2" s="1"/>
  <c r="F76" i="2" s="1"/>
  <c r="C77" i="2" s="1"/>
  <c r="D77" i="2" l="1"/>
  <c r="E77" i="2" s="1"/>
  <c r="F77" i="2" s="1"/>
  <c r="C78" i="2" s="1"/>
  <c r="D78" i="2" l="1"/>
  <c r="E78" i="2" s="1"/>
  <c r="F78" i="2" s="1"/>
  <c r="C79" i="2" s="1"/>
  <c r="D79" i="2" l="1"/>
  <c r="E79" i="2" s="1"/>
  <c r="F79" i="2" s="1"/>
  <c r="C80" i="2"/>
  <c r="D80" i="2" l="1"/>
  <c r="E80" i="2" s="1"/>
  <c r="F80" i="2" s="1"/>
  <c r="C81" i="2" s="1"/>
  <c r="D81" i="2" l="1"/>
  <c r="E81" i="2" s="1"/>
  <c r="F81" i="2" s="1"/>
  <c r="C82" i="2"/>
  <c r="D82" i="2" l="1"/>
  <c r="E82" i="2" s="1"/>
  <c r="F82" i="2" s="1"/>
  <c r="C83" i="2" s="1"/>
  <c r="D83" i="2" l="1"/>
  <c r="E83" i="2" s="1"/>
  <c r="F83" i="2" s="1"/>
  <c r="C84" i="2" s="1"/>
  <c r="D84" i="2" l="1"/>
  <c r="E84" i="2" s="1"/>
  <c r="F84" i="2" s="1"/>
  <c r="C85" i="2" s="1"/>
  <c r="D85" i="2" l="1"/>
  <c r="E85" i="2" s="1"/>
  <c r="F85" i="2" s="1"/>
  <c r="C86" i="2" s="1"/>
  <c r="D86" i="2" l="1"/>
  <c r="E86" i="2" s="1"/>
  <c r="F86" i="2" s="1"/>
  <c r="C87" i="2" s="1"/>
  <c r="D87" i="2" l="1"/>
  <c r="E87" i="2" s="1"/>
  <c r="F87" i="2" s="1"/>
  <c r="C88" i="2" s="1"/>
  <c r="D88" i="2" l="1"/>
  <c r="E88" i="2" s="1"/>
  <c r="F88" i="2" s="1"/>
  <c r="C89" i="2"/>
  <c r="D89" i="2" l="1"/>
  <c r="E89" i="2" s="1"/>
  <c r="F89" i="2" s="1"/>
  <c r="C90" i="2" s="1"/>
  <c r="D90" i="2" l="1"/>
  <c r="E90" i="2" s="1"/>
  <c r="F90" i="2" s="1"/>
  <c r="C91" i="2" s="1"/>
  <c r="D91" i="2" l="1"/>
  <c r="E91" i="2" s="1"/>
  <c r="F91" i="2" s="1"/>
  <c r="C92" i="2" s="1"/>
  <c r="D92" i="2" l="1"/>
  <c r="E92" i="2" s="1"/>
  <c r="F92" i="2" s="1"/>
  <c r="C93" i="2" s="1"/>
  <c r="D93" i="2" l="1"/>
  <c r="E93" i="2" s="1"/>
  <c r="F93" i="2" s="1"/>
  <c r="C94" i="2" s="1"/>
  <c r="D94" i="2" l="1"/>
  <c r="E94" i="2" s="1"/>
  <c r="F94" i="2" s="1"/>
  <c r="C95" i="2" s="1"/>
  <c r="D95" i="2" l="1"/>
  <c r="E95" i="2" s="1"/>
  <c r="F95" i="2" s="1"/>
  <c r="C96" i="2"/>
  <c r="D96" i="2" l="1"/>
  <c r="E96" i="2" s="1"/>
  <c r="F96" i="2" s="1"/>
  <c r="C97" i="2" s="1"/>
  <c r="D97" i="2" l="1"/>
  <c r="E97" i="2" s="1"/>
  <c r="F97" i="2" s="1"/>
  <c r="C98" i="2"/>
  <c r="D98" i="2" l="1"/>
  <c r="E98" i="2" s="1"/>
  <c r="F98" i="2" s="1"/>
  <c r="C99" i="2" s="1"/>
  <c r="D99" i="2" l="1"/>
  <c r="E99" i="2" s="1"/>
  <c r="F99" i="2" s="1"/>
  <c r="C100" i="2" s="1"/>
  <c r="D100" i="2" l="1"/>
  <c r="E100" i="2" s="1"/>
  <c r="F100" i="2" s="1"/>
  <c r="C101" i="2" s="1"/>
  <c r="D101" i="2" l="1"/>
  <c r="E101" i="2" s="1"/>
  <c r="F101" i="2" s="1"/>
  <c r="C102" i="2"/>
  <c r="D102" i="2" l="1"/>
  <c r="E102" i="2" s="1"/>
  <c r="F102" i="2" s="1"/>
  <c r="C103" i="2" s="1"/>
  <c r="D103" i="2" l="1"/>
  <c r="E103" i="2" s="1"/>
  <c r="F103" i="2" s="1"/>
  <c r="C104" i="2"/>
  <c r="D104" i="2" l="1"/>
  <c r="E104" i="2" s="1"/>
  <c r="F104" i="2" s="1"/>
  <c r="C105" i="2"/>
  <c r="D105" i="2" l="1"/>
  <c r="E105" i="2" s="1"/>
  <c r="F105" i="2" s="1"/>
  <c r="C106" i="2" s="1"/>
  <c r="D106" i="2" l="1"/>
  <c r="E106" i="2" s="1"/>
  <c r="F106" i="2" s="1"/>
  <c r="C107" i="2" s="1"/>
  <c r="D107" i="2" l="1"/>
  <c r="E107" i="2" s="1"/>
  <c r="F107" i="2" s="1"/>
  <c r="C108" i="2" s="1"/>
  <c r="D108" i="2" l="1"/>
  <c r="E108" i="2" s="1"/>
  <c r="F108" i="2" s="1"/>
  <c r="C109" i="2"/>
  <c r="D109" i="2" l="1"/>
  <c r="E109" i="2" s="1"/>
  <c r="F109" i="2" s="1"/>
  <c r="C110" i="2"/>
  <c r="D110" i="2" l="1"/>
  <c r="E110" i="2" s="1"/>
  <c r="F110" i="2" s="1"/>
  <c r="C111" i="2"/>
  <c r="D111" i="2" l="1"/>
  <c r="E111" i="2" s="1"/>
  <c r="F111" i="2" s="1"/>
  <c r="C112" i="2" s="1"/>
  <c r="D112" i="2" l="1"/>
  <c r="E112" i="2" s="1"/>
  <c r="F112" i="2" s="1"/>
  <c r="C113" i="2"/>
  <c r="D113" i="2" l="1"/>
  <c r="E113" i="2" s="1"/>
  <c r="F113" i="2" s="1"/>
  <c r="C114" i="2" s="1"/>
  <c r="D114" i="2" l="1"/>
  <c r="E114" i="2" s="1"/>
  <c r="F114" i="2" s="1"/>
  <c r="C115" i="2" s="1"/>
  <c r="D115" i="2" l="1"/>
  <c r="E115" i="2" s="1"/>
  <c r="F115" i="2" s="1"/>
  <c r="C116" i="2" s="1"/>
  <c r="D116" i="2" l="1"/>
  <c r="E116" i="2" s="1"/>
  <c r="F116" i="2" s="1"/>
  <c r="C117" i="2" s="1"/>
  <c r="D117" i="2" l="1"/>
  <c r="E117" i="2" s="1"/>
  <c r="F117" i="2" s="1"/>
  <c r="C118" i="2"/>
  <c r="D118" i="2" l="1"/>
  <c r="E118" i="2" s="1"/>
  <c r="F118" i="2" s="1"/>
  <c r="C119" i="2" s="1"/>
  <c r="D119" i="2" l="1"/>
  <c r="E119" i="2" s="1"/>
  <c r="F119" i="2" s="1"/>
  <c r="C120" i="2" s="1"/>
  <c r="D120" i="2" l="1"/>
  <c r="E120" i="2" s="1"/>
  <c r="F120" i="2" s="1"/>
  <c r="C121" i="2" s="1"/>
  <c r="D121" i="2" l="1"/>
  <c r="E121" i="2" s="1"/>
  <c r="F121" i="2" s="1"/>
  <c r="C122" i="2" s="1"/>
  <c r="D122" i="2" l="1"/>
  <c r="E122" i="2" s="1"/>
  <c r="F122" i="2" s="1"/>
  <c r="C123" i="2" s="1"/>
  <c r="D123" i="2" l="1"/>
  <c r="E123" i="2" s="1"/>
  <c r="F123" i="2" s="1"/>
  <c r="C124" i="2" s="1"/>
  <c r="D124" i="2" l="1"/>
  <c r="E124" i="2" s="1"/>
  <c r="F124" i="2" s="1"/>
  <c r="C125" i="2"/>
  <c r="D125" i="2" l="1"/>
  <c r="E125" i="2" s="1"/>
  <c r="F125" i="2" s="1"/>
  <c r="C126" i="2" s="1"/>
  <c r="D126" i="2" l="1"/>
  <c r="E126" i="2" s="1"/>
  <c r="F126" i="2" s="1"/>
  <c r="C127" i="2" s="1"/>
  <c r="D127" i="2" l="1"/>
  <c r="E127" i="2" s="1"/>
  <c r="F127" i="2" s="1"/>
  <c r="C128" i="2"/>
  <c r="D128" i="2" l="1"/>
  <c r="E128" i="2" s="1"/>
  <c r="F128" i="2" s="1"/>
  <c r="C129" i="2"/>
  <c r="D129" i="2" l="1"/>
  <c r="E129" i="2" s="1"/>
  <c r="F129" i="2" s="1"/>
  <c r="C130" i="2" s="1"/>
  <c r="D130" i="2" l="1"/>
  <c r="E130" i="2" s="1"/>
  <c r="F130" i="2" s="1"/>
  <c r="C131" i="2" s="1"/>
  <c r="D131" i="2" l="1"/>
  <c r="E131" i="2" s="1"/>
  <c r="F131" i="2" s="1"/>
  <c r="C132" i="2" s="1"/>
  <c r="D132" i="2" l="1"/>
  <c r="E132" i="2" s="1"/>
  <c r="F132" i="2" s="1"/>
  <c r="C133" i="2" s="1"/>
  <c r="D133" i="2" l="1"/>
  <c r="E133" i="2" s="1"/>
  <c r="F133" i="2" s="1"/>
  <c r="C134" i="2"/>
  <c r="D134" i="2" l="1"/>
  <c r="E134" i="2" s="1"/>
  <c r="F134" i="2" s="1"/>
  <c r="C135" i="2" s="1"/>
  <c r="D135" i="2" l="1"/>
  <c r="E135" i="2" s="1"/>
  <c r="F135" i="2" s="1"/>
  <c r="C136" i="2" s="1"/>
  <c r="D136" i="2" l="1"/>
  <c r="E136" i="2" s="1"/>
  <c r="F136" i="2" s="1"/>
  <c r="C137" i="2" s="1"/>
  <c r="D137" i="2" l="1"/>
  <c r="E137" i="2" s="1"/>
  <c r="F137" i="2" s="1"/>
  <c r="C138" i="2" s="1"/>
  <c r="D138" i="2" l="1"/>
  <c r="E138" i="2" s="1"/>
  <c r="F138" i="2" s="1"/>
  <c r="C139" i="2" s="1"/>
  <c r="D139" i="2" l="1"/>
  <c r="E139" i="2" s="1"/>
  <c r="F139" i="2" s="1"/>
  <c r="C140" i="2" s="1"/>
  <c r="D140" i="2" l="1"/>
  <c r="E140" i="2" s="1"/>
  <c r="F140" i="2" s="1"/>
  <c r="C141" i="2" s="1"/>
  <c r="D141" i="2" l="1"/>
  <c r="E141" i="2" s="1"/>
  <c r="F141" i="2" s="1"/>
  <c r="C142" i="2" s="1"/>
  <c r="D142" i="2" l="1"/>
  <c r="E142" i="2" s="1"/>
  <c r="F142" i="2" s="1"/>
  <c r="C143" i="2" s="1"/>
  <c r="D143" i="2" l="1"/>
  <c r="E143" i="2" s="1"/>
  <c r="F143" i="2" s="1"/>
  <c r="C144" i="2" s="1"/>
  <c r="D144" i="2" l="1"/>
  <c r="E144" i="2" s="1"/>
  <c r="F144" i="2" s="1"/>
  <c r="C145" i="2" s="1"/>
  <c r="D145" i="2" l="1"/>
  <c r="E145" i="2" s="1"/>
  <c r="F145" i="2" s="1"/>
  <c r="C146" i="2"/>
  <c r="D146" i="2" l="1"/>
  <c r="E146" i="2" s="1"/>
  <c r="F146" i="2" s="1"/>
  <c r="C147" i="2" s="1"/>
  <c r="D147" i="2" l="1"/>
  <c r="E147" i="2" s="1"/>
  <c r="F147" i="2" s="1"/>
  <c r="C148" i="2"/>
  <c r="D148" i="2" l="1"/>
  <c r="E148" i="2" s="1"/>
  <c r="F148" i="2" s="1"/>
  <c r="C149" i="2" s="1"/>
  <c r="D149" i="2" l="1"/>
  <c r="E149" i="2" s="1"/>
  <c r="F149" i="2" s="1"/>
  <c r="C150" i="2" s="1"/>
  <c r="D150" i="2" l="1"/>
  <c r="E150" i="2" s="1"/>
  <c r="F150" i="2" s="1"/>
  <c r="C151" i="2"/>
  <c r="D151" i="2" l="1"/>
  <c r="E151" i="2" s="1"/>
  <c r="F151" i="2" s="1"/>
  <c r="C152" i="2" s="1"/>
  <c r="D152" i="2" l="1"/>
  <c r="E152" i="2" s="1"/>
  <c r="F152" i="2" s="1"/>
  <c r="C153" i="2" s="1"/>
  <c r="D153" i="2" l="1"/>
  <c r="E153" i="2" s="1"/>
  <c r="F153" i="2" s="1"/>
  <c r="C154" i="2" s="1"/>
  <c r="D154" i="2" l="1"/>
  <c r="E154" i="2" s="1"/>
  <c r="F154" i="2" s="1"/>
  <c r="C155" i="2" s="1"/>
  <c r="D155" i="2" l="1"/>
  <c r="E155" i="2" s="1"/>
  <c r="F155" i="2" s="1"/>
  <c r="C156" i="2" s="1"/>
  <c r="D156" i="2" l="1"/>
  <c r="E156" i="2" s="1"/>
  <c r="F156" i="2" s="1"/>
  <c r="C157" i="2" s="1"/>
  <c r="D157" i="2" l="1"/>
  <c r="E157" i="2" s="1"/>
  <c r="F157" i="2" s="1"/>
  <c r="C158" i="2"/>
  <c r="D158" i="2" l="1"/>
  <c r="E158" i="2" s="1"/>
  <c r="F158" i="2" s="1"/>
  <c r="C159" i="2"/>
  <c r="D159" i="2" l="1"/>
  <c r="E159" i="2" s="1"/>
  <c r="F159" i="2" s="1"/>
  <c r="C160" i="2" s="1"/>
  <c r="D160" i="2" l="1"/>
  <c r="E160" i="2" s="1"/>
  <c r="F160" i="2" s="1"/>
  <c r="C161" i="2" s="1"/>
  <c r="D161" i="2" l="1"/>
  <c r="E161" i="2" s="1"/>
  <c r="F161" i="2" s="1"/>
  <c r="C162" i="2" s="1"/>
  <c r="D162" i="2" l="1"/>
  <c r="E162" i="2" s="1"/>
  <c r="F162" i="2" s="1"/>
  <c r="C163" i="2" s="1"/>
  <c r="D163" i="2" l="1"/>
  <c r="E163" i="2" s="1"/>
  <c r="F163" i="2" s="1"/>
  <c r="C164" i="2" s="1"/>
  <c r="D164" i="2" l="1"/>
  <c r="E164" i="2" s="1"/>
  <c r="F164" i="2" s="1"/>
  <c r="C165" i="2" s="1"/>
  <c r="D165" i="2" l="1"/>
  <c r="E165" i="2" s="1"/>
  <c r="F165" i="2" s="1"/>
  <c r="C166" i="2"/>
  <c r="D166" i="2" l="1"/>
  <c r="E166" i="2" s="1"/>
  <c r="F166" i="2" s="1"/>
  <c r="C167" i="2"/>
  <c r="D167" i="2" l="1"/>
  <c r="E167" i="2" s="1"/>
  <c r="F167" i="2" s="1"/>
  <c r="C168" i="2"/>
  <c r="D168" i="2" l="1"/>
  <c r="E168" i="2" s="1"/>
  <c r="F168" i="2" s="1"/>
  <c r="C169" i="2" s="1"/>
  <c r="D169" i="2" l="1"/>
  <c r="E169" i="2" s="1"/>
  <c r="F169" i="2" s="1"/>
  <c r="C170" i="2" s="1"/>
  <c r="D170" i="2" l="1"/>
  <c r="E170" i="2" s="1"/>
  <c r="F170" i="2" s="1"/>
  <c r="C171" i="2" s="1"/>
  <c r="D171" i="2" l="1"/>
  <c r="E171" i="2" s="1"/>
  <c r="F171" i="2" s="1"/>
  <c r="C172" i="2" s="1"/>
  <c r="D172" i="2" l="1"/>
  <c r="E172" i="2" s="1"/>
  <c r="F172" i="2" s="1"/>
  <c r="C173" i="2" s="1"/>
  <c r="D173" i="2" l="1"/>
  <c r="E173" i="2" s="1"/>
  <c r="F173" i="2" s="1"/>
  <c r="C174" i="2" s="1"/>
  <c r="D174" i="2" l="1"/>
  <c r="E174" i="2" s="1"/>
  <c r="F174" i="2" s="1"/>
  <c r="C175" i="2"/>
  <c r="D175" i="2" l="1"/>
  <c r="E175" i="2" s="1"/>
  <c r="F175" i="2" s="1"/>
  <c r="C176" i="2" s="1"/>
  <c r="D176" i="2" l="1"/>
  <c r="E176" i="2" s="1"/>
  <c r="F176" i="2" s="1"/>
  <c r="C177" i="2" s="1"/>
  <c r="D177" i="2" l="1"/>
  <c r="E177" i="2" s="1"/>
  <c r="F177" i="2" s="1"/>
  <c r="C178" i="2" s="1"/>
  <c r="D178" i="2" l="1"/>
  <c r="E178" i="2" s="1"/>
  <c r="F178" i="2" s="1"/>
  <c r="C179" i="2" s="1"/>
  <c r="D179" i="2" l="1"/>
  <c r="E179" i="2" s="1"/>
  <c r="F179" i="2" s="1"/>
  <c r="C180" i="2" s="1"/>
  <c r="D180" i="2" l="1"/>
  <c r="E180" i="2" s="1"/>
  <c r="F180" i="2" s="1"/>
  <c r="C181" i="2" s="1"/>
  <c r="D181" i="2" l="1"/>
  <c r="E181" i="2" s="1"/>
  <c r="F181" i="2" s="1"/>
  <c r="C182" i="2" s="1"/>
  <c r="D182" i="2" l="1"/>
  <c r="E182" i="2" s="1"/>
  <c r="F182" i="2" s="1"/>
  <c r="C183" i="2"/>
  <c r="D183" i="2" l="1"/>
  <c r="E183" i="2" s="1"/>
  <c r="F183" i="2" s="1"/>
  <c r="C184" i="2" s="1"/>
  <c r="D184" i="2" l="1"/>
  <c r="E184" i="2" s="1"/>
  <c r="F184" i="2" s="1"/>
  <c r="C185" i="2"/>
  <c r="D185" i="2" l="1"/>
  <c r="E185" i="2" s="1"/>
  <c r="F185" i="2" s="1"/>
  <c r="C186" i="2" s="1"/>
  <c r="D186" i="2" l="1"/>
  <c r="E186" i="2" s="1"/>
  <c r="F186" i="2" s="1"/>
  <c r="C187" i="2" s="1"/>
  <c r="D187" i="2" l="1"/>
  <c r="E187" i="2" s="1"/>
  <c r="F187" i="2" s="1"/>
  <c r="C188" i="2"/>
  <c r="D188" i="2" l="1"/>
  <c r="E188" i="2" s="1"/>
  <c r="F188" i="2" s="1"/>
  <c r="C189" i="2"/>
  <c r="D189" i="2" l="1"/>
  <c r="E189" i="2" s="1"/>
  <c r="F189" i="2" s="1"/>
  <c r="C190" i="2" s="1"/>
  <c r="D190" i="2" l="1"/>
  <c r="E190" i="2" s="1"/>
  <c r="F190" i="2" s="1"/>
  <c r="C191" i="2"/>
  <c r="D191" i="2" l="1"/>
  <c r="E191" i="2" s="1"/>
  <c r="F191" i="2" s="1"/>
  <c r="C192" i="2" s="1"/>
  <c r="D192" i="2" l="1"/>
  <c r="E192" i="2" s="1"/>
  <c r="F192" i="2" s="1"/>
  <c r="C193" i="2"/>
  <c r="D193" i="2" l="1"/>
  <c r="E193" i="2" s="1"/>
  <c r="F193" i="2" s="1"/>
  <c r="C194" i="2" s="1"/>
  <c r="D194" i="2" l="1"/>
  <c r="E194" i="2" s="1"/>
  <c r="F194" i="2" s="1"/>
  <c r="C195" i="2"/>
  <c r="D195" i="2" l="1"/>
  <c r="E195" i="2" s="1"/>
  <c r="F195" i="2" s="1"/>
  <c r="C196" i="2" s="1"/>
  <c r="D196" i="2" l="1"/>
  <c r="E196" i="2" s="1"/>
  <c r="F196" i="2" s="1"/>
  <c r="C197" i="2"/>
  <c r="D197" i="2" l="1"/>
  <c r="E197" i="2" s="1"/>
  <c r="F197" i="2" s="1"/>
  <c r="C198" i="2"/>
  <c r="D198" i="2" l="1"/>
  <c r="E198" i="2" s="1"/>
  <c r="F198" i="2" s="1"/>
  <c r="C199" i="2"/>
  <c r="D199" i="2" l="1"/>
  <c r="E199" i="2" s="1"/>
  <c r="F199" i="2" s="1"/>
  <c r="C200" i="2"/>
  <c r="D200" i="2" l="1"/>
  <c r="E200" i="2" s="1"/>
  <c r="F200" i="2" s="1"/>
  <c r="C201" i="2" s="1"/>
  <c r="D201" i="2" l="1"/>
  <c r="E201" i="2" s="1"/>
  <c r="F201" i="2" s="1"/>
  <c r="C202" i="2"/>
  <c r="D202" i="2" l="1"/>
  <c r="E202" i="2" s="1"/>
  <c r="F202" i="2" s="1"/>
  <c r="C203" i="2"/>
  <c r="D203" i="2" l="1"/>
  <c r="E203" i="2" s="1"/>
  <c r="F203" i="2" s="1"/>
  <c r="C204" i="2"/>
  <c r="D204" i="2" l="1"/>
  <c r="E204" i="2" s="1"/>
  <c r="F204" i="2" s="1"/>
  <c r="C205" i="2"/>
  <c r="D205" i="2" l="1"/>
  <c r="E205" i="2" s="1"/>
  <c r="F205" i="2" s="1"/>
  <c r="C206" i="2"/>
  <c r="D206" i="2" l="1"/>
  <c r="E206" i="2" s="1"/>
  <c r="F206" i="2" s="1"/>
  <c r="C207" i="2"/>
  <c r="D207" i="2" l="1"/>
  <c r="E207" i="2" s="1"/>
  <c r="F207" i="2" s="1"/>
  <c r="C208" i="2" s="1"/>
  <c r="D208" i="2" l="1"/>
  <c r="E208" i="2" s="1"/>
  <c r="F208" i="2" s="1"/>
  <c r="C209" i="2" s="1"/>
  <c r="D209" i="2" l="1"/>
  <c r="E209" i="2" s="1"/>
  <c r="F209" i="2" s="1"/>
  <c r="C210" i="2"/>
  <c r="D210" i="2" l="1"/>
  <c r="E210" i="2" s="1"/>
  <c r="F210" i="2" s="1"/>
  <c r="C211" i="2" s="1"/>
  <c r="D211" i="2" l="1"/>
  <c r="E211" i="2" s="1"/>
  <c r="F211" i="2" s="1"/>
  <c r="C212" i="2"/>
  <c r="D212" i="2" l="1"/>
  <c r="E212" i="2" s="1"/>
  <c r="F212" i="2" s="1"/>
  <c r="C213" i="2" s="1"/>
  <c r="D213" i="2" l="1"/>
  <c r="E213" i="2" s="1"/>
  <c r="F213" i="2" s="1"/>
  <c r="C214" i="2"/>
  <c r="D214" i="2" l="1"/>
  <c r="E214" i="2" s="1"/>
  <c r="F214" i="2" s="1"/>
  <c r="C215" i="2" s="1"/>
  <c r="D215" i="2" l="1"/>
  <c r="E215" i="2" s="1"/>
  <c r="F215" i="2" s="1"/>
  <c r="C216" i="2"/>
  <c r="D216" i="2" l="1"/>
  <c r="E216" i="2" s="1"/>
  <c r="F216" i="2" s="1"/>
  <c r="C217" i="2" s="1"/>
  <c r="D217" i="2" l="1"/>
  <c r="E217" i="2" s="1"/>
  <c r="F217" i="2" s="1"/>
  <c r="C218" i="2" s="1"/>
  <c r="D218" i="2" l="1"/>
  <c r="E218" i="2" s="1"/>
  <c r="F218" i="2" s="1"/>
  <c r="C219" i="2" s="1"/>
  <c r="D219" i="2" l="1"/>
  <c r="E219" i="2" s="1"/>
  <c r="F219" i="2" s="1"/>
  <c r="C220" i="2" s="1"/>
  <c r="D220" i="2" l="1"/>
  <c r="E220" i="2" s="1"/>
  <c r="F220" i="2" s="1"/>
  <c r="C221" i="2" s="1"/>
  <c r="D221" i="2" l="1"/>
  <c r="E221" i="2" s="1"/>
  <c r="F221" i="2" s="1"/>
  <c r="C222" i="2"/>
  <c r="D222" i="2" l="1"/>
  <c r="E222" i="2" s="1"/>
  <c r="F222" i="2" s="1"/>
  <c r="C223" i="2" s="1"/>
  <c r="D223" i="2" l="1"/>
  <c r="E223" i="2" s="1"/>
  <c r="F223" i="2" s="1"/>
  <c r="C224" i="2"/>
  <c r="D224" i="2" l="1"/>
  <c r="E224" i="2" s="1"/>
  <c r="F224" i="2" s="1"/>
  <c r="C225" i="2"/>
  <c r="D225" i="2" l="1"/>
  <c r="E225" i="2" s="1"/>
  <c r="F225" i="2" s="1"/>
  <c r="C226" i="2"/>
  <c r="D226" i="2" l="1"/>
  <c r="E226" i="2" s="1"/>
  <c r="F226" i="2" s="1"/>
  <c r="C227" i="2"/>
  <c r="D227" i="2" l="1"/>
  <c r="E227" i="2" s="1"/>
  <c r="F227" i="2" s="1"/>
  <c r="C228" i="2"/>
  <c r="D228" i="2" l="1"/>
  <c r="E228" i="2" s="1"/>
  <c r="F228" i="2" s="1"/>
  <c r="C229" i="2"/>
  <c r="D229" i="2" l="1"/>
  <c r="E229" i="2" s="1"/>
  <c r="F229" i="2" s="1"/>
  <c r="C230" i="2" s="1"/>
  <c r="D230" i="2" l="1"/>
  <c r="E230" i="2" s="1"/>
  <c r="F230" i="2" s="1"/>
  <c r="C231" i="2" s="1"/>
  <c r="D231" i="2" l="1"/>
  <c r="E231" i="2" s="1"/>
  <c r="F231" i="2" s="1"/>
  <c r="C232" i="2" s="1"/>
  <c r="D232" i="2" l="1"/>
  <c r="E232" i="2" s="1"/>
  <c r="F232" i="2" s="1"/>
  <c r="C233" i="2" s="1"/>
  <c r="D233" i="2" l="1"/>
  <c r="E233" i="2" s="1"/>
  <c r="F233" i="2" s="1"/>
  <c r="C234" i="2"/>
  <c r="D234" i="2" l="1"/>
  <c r="E234" i="2" s="1"/>
  <c r="F234" i="2" s="1"/>
  <c r="C235" i="2" s="1"/>
  <c r="D235" i="2" l="1"/>
  <c r="E235" i="2" s="1"/>
  <c r="F235" i="2" s="1"/>
  <c r="C236" i="2"/>
  <c r="D236" i="2" l="1"/>
  <c r="E236" i="2" s="1"/>
  <c r="F236" i="2" s="1"/>
  <c r="C237" i="2"/>
  <c r="D237" i="2" l="1"/>
  <c r="E237" i="2" s="1"/>
  <c r="F237" i="2" s="1"/>
  <c r="C238" i="2" s="1"/>
  <c r="D238" i="2" l="1"/>
  <c r="E238" i="2" s="1"/>
  <c r="F238" i="2" s="1"/>
  <c r="C239" i="2"/>
  <c r="D239" i="2" l="1"/>
  <c r="E239" i="2" s="1"/>
  <c r="F239" i="2" s="1"/>
  <c r="C240" i="2" s="1"/>
  <c r="D240" i="2" l="1"/>
  <c r="E240" i="2" s="1"/>
  <c r="F240" i="2" s="1"/>
  <c r="C241" i="2"/>
  <c r="D241" i="2" l="1"/>
  <c r="E241" i="2" s="1"/>
  <c r="F241" i="2" s="1"/>
  <c r="C242" i="2" s="1"/>
  <c r="D242" i="2" l="1"/>
  <c r="E242" i="2" s="1"/>
  <c r="F242" i="2" s="1"/>
  <c r="C243" i="2"/>
  <c r="D243" i="2" l="1"/>
  <c r="E243" i="2" s="1"/>
  <c r="F243" i="2" s="1"/>
  <c r="C244" i="2"/>
  <c r="D244" i="2" l="1"/>
  <c r="E244" i="2" s="1"/>
  <c r="F244" i="2" s="1"/>
  <c r="C245" i="2" s="1"/>
  <c r="D245" i="2" l="1"/>
  <c r="E245" i="2" s="1"/>
  <c r="F245" i="2" s="1"/>
  <c r="C246" i="2"/>
  <c r="D246" i="2" l="1"/>
  <c r="E246" i="2" s="1"/>
  <c r="F246" i="2" s="1"/>
  <c r="C247" i="2" s="1"/>
  <c r="D247" i="2" l="1"/>
  <c r="H9" i="2"/>
  <c r="I9" i="2" l="1"/>
  <c r="E247" i="2"/>
  <c r="J9" i="2" l="1"/>
  <c r="F247" i="2"/>
  <c r="K9" i="2" l="1"/>
  <c r="C248" i="2"/>
  <c r="D248" i="2" l="1"/>
  <c r="E248" i="2" s="1"/>
  <c r="F248" i="2" s="1"/>
  <c r="C249" i="2"/>
  <c r="D249" i="2" l="1"/>
  <c r="E249" i="2" s="1"/>
  <c r="F249" i="2" s="1"/>
  <c r="C250" i="2"/>
  <c r="D250" i="2" l="1"/>
  <c r="E250" i="2" s="1"/>
  <c r="F250" i="2" s="1"/>
  <c r="C251" i="2"/>
  <c r="D251" i="2" l="1"/>
  <c r="E251" i="2" s="1"/>
  <c r="F251" i="2" s="1"/>
  <c r="C252" i="2"/>
  <c r="D252" i="2" l="1"/>
  <c r="E252" i="2" s="1"/>
  <c r="F252" i="2" s="1"/>
  <c r="C253" i="2" s="1"/>
  <c r="D253" i="2" l="1"/>
  <c r="E253" i="2" s="1"/>
  <c r="F253" i="2" s="1"/>
  <c r="C254" i="2"/>
  <c r="D254" i="2" l="1"/>
  <c r="E254" i="2" s="1"/>
  <c r="F254" i="2" s="1"/>
  <c r="C255" i="2" s="1"/>
  <c r="D255" i="2" l="1"/>
  <c r="E255" i="2" s="1"/>
  <c r="F255" i="2" s="1"/>
  <c r="C256" i="2"/>
  <c r="D256" i="2" l="1"/>
  <c r="E256" i="2" s="1"/>
  <c r="F256" i="2" s="1"/>
  <c r="C257" i="2" s="1"/>
  <c r="D257" i="2" l="1"/>
  <c r="E257" i="2" s="1"/>
  <c r="F257" i="2" s="1"/>
  <c r="C258" i="2"/>
  <c r="D258" i="2" l="1"/>
  <c r="E258" i="2" s="1"/>
  <c r="F258" i="2" s="1"/>
  <c r="C259" i="2"/>
  <c r="D259" i="2" l="1"/>
  <c r="E259" i="2" s="1"/>
  <c r="F259" i="2" s="1"/>
  <c r="C260" i="2" s="1"/>
  <c r="D260" i="2" l="1"/>
  <c r="E260" i="2" s="1"/>
  <c r="F260" i="2" s="1"/>
  <c r="C261" i="2"/>
  <c r="D261" i="2" l="1"/>
  <c r="E261" i="2" s="1"/>
  <c r="F261" i="2" s="1"/>
  <c r="C262" i="2" s="1"/>
  <c r="D262" i="2" l="1"/>
  <c r="E262" i="2" s="1"/>
  <c r="F262" i="2" s="1"/>
  <c r="C263" i="2"/>
  <c r="D263" i="2" l="1"/>
  <c r="E263" i="2" s="1"/>
  <c r="F263" i="2" s="1"/>
  <c r="C264" i="2" s="1"/>
  <c r="D264" i="2" l="1"/>
  <c r="E264" i="2" s="1"/>
  <c r="F264" i="2" s="1"/>
  <c r="C265" i="2"/>
  <c r="D265" i="2" l="1"/>
  <c r="E265" i="2" s="1"/>
  <c r="F265" i="2" s="1"/>
  <c r="C266" i="2"/>
  <c r="D266" i="2" l="1"/>
  <c r="E266" i="2" s="1"/>
  <c r="F266" i="2" s="1"/>
  <c r="C267" i="2"/>
  <c r="D267" i="2" l="1"/>
  <c r="E267" i="2" s="1"/>
  <c r="F267" i="2" s="1"/>
  <c r="C268" i="2"/>
  <c r="D268" i="2" l="1"/>
  <c r="E268" i="2" s="1"/>
  <c r="F268" i="2" s="1"/>
  <c r="C269" i="2" s="1"/>
  <c r="D269" i="2" l="1"/>
  <c r="E269" i="2" s="1"/>
  <c r="F269" i="2" s="1"/>
  <c r="C270" i="2"/>
  <c r="D270" i="2" l="1"/>
  <c r="E270" i="2" s="1"/>
  <c r="F270" i="2" s="1"/>
  <c r="C271" i="2" s="1"/>
  <c r="D271" i="2" l="1"/>
  <c r="E271" i="2" s="1"/>
  <c r="F271" i="2" s="1"/>
  <c r="C272" i="2"/>
  <c r="D272" i="2" l="1"/>
  <c r="E272" i="2" s="1"/>
  <c r="F272" i="2" s="1"/>
  <c r="C273" i="2"/>
  <c r="D273" i="2" l="1"/>
  <c r="E273" i="2" s="1"/>
  <c r="F273" i="2" s="1"/>
  <c r="C274" i="2" s="1"/>
  <c r="D274" i="2" l="1"/>
  <c r="E274" i="2" s="1"/>
  <c r="F274" i="2" s="1"/>
  <c r="C275" i="2" s="1"/>
  <c r="D275" i="2" l="1"/>
  <c r="E275" i="2" s="1"/>
  <c r="F275" i="2" s="1"/>
  <c r="C276" i="2" s="1"/>
  <c r="D276" i="2" l="1"/>
  <c r="E276" i="2" s="1"/>
  <c r="F276" i="2" s="1"/>
  <c r="C277" i="2"/>
  <c r="D277" i="2" l="1"/>
  <c r="E277" i="2" s="1"/>
  <c r="F277" i="2" s="1"/>
  <c r="C278" i="2" s="1"/>
  <c r="D278" i="2" l="1"/>
  <c r="E278" i="2" s="1"/>
  <c r="F278" i="2" s="1"/>
  <c r="C279" i="2"/>
  <c r="D279" i="2" l="1"/>
  <c r="E279" i="2" s="1"/>
  <c r="F279" i="2" s="1"/>
  <c r="C280" i="2" s="1"/>
  <c r="D280" i="2" l="1"/>
  <c r="E280" i="2" s="1"/>
  <c r="F280" i="2" s="1"/>
  <c r="C281" i="2"/>
  <c r="D281" i="2" l="1"/>
  <c r="E281" i="2" s="1"/>
  <c r="F281" i="2" s="1"/>
  <c r="C282" i="2"/>
  <c r="D282" i="2" l="1"/>
  <c r="E282" i="2" s="1"/>
  <c r="F282" i="2" s="1"/>
  <c r="C283" i="2"/>
  <c r="D283" i="2" l="1"/>
  <c r="E283" i="2" s="1"/>
  <c r="F283" i="2" s="1"/>
  <c r="C284" i="2" s="1"/>
  <c r="D284" i="2" l="1"/>
  <c r="E284" i="2" s="1"/>
  <c r="F284" i="2" s="1"/>
  <c r="C285" i="2"/>
  <c r="D285" i="2" l="1"/>
  <c r="E285" i="2" s="1"/>
  <c r="F285" i="2" s="1"/>
  <c r="C286" i="2"/>
  <c r="D286" i="2" l="1"/>
  <c r="E286" i="2" s="1"/>
  <c r="F286" i="2" s="1"/>
  <c r="C287" i="2"/>
  <c r="D287" i="2" l="1"/>
  <c r="E287" i="2" s="1"/>
  <c r="F287" i="2" s="1"/>
  <c r="C288" i="2" s="1"/>
  <c r="D288" i="2" l="1"/>
  <c r="E288" i="2" s="1"/>
  <c r="F288" i="2" s="1"/>
  <c r="C289" i="2"/>
  <c r="D289" i="2" l="1"/>
  <c r="E289" i="2" s="1"/>
  <c r="F289" i="2" s="1"/>
  <c r="C290" i="2"/>
  <c r="D290" i="2" l="1"/>
  <c r="E290" i="2" s="1"/>
  <c r="F290" i="2" s="1"/>
  <c r="C291" i="2"/>
  <c r="D291" i="2" l="1"/>
  <c r="E291" i="2" s="1"/>
  <c r="F291" i="2" s="1"/>
  <c r="C292" i="2" s="1"/>
  <c r="D292" i="2" l="1"/>
  <c r="E292" i="2" s="1"/>
  <c r="F292" i="2" s="1"/>
  <c r="C293" i="2" s="1"/>
  <c r="D293" i="2" l="1"/>
  <c r="E293" i="2" s="1"/>
  <c r="F293" i="2" s="1"/>
  <c r="C294" i="2" s="1"/>
  <c r="D294" i="2" l="1"/>
  <c r="E294" i="2" s="1"/>
  <c r="F294" i="2" s="1"/>
  <c r="C295" i="2"/>
  <c r="D295" i="2" l="1"/>
  <c r="E295" i="2" s="1"/>
  <c r="F295" i="2" s="1"/>
  <c r="C296" i="2" s="1"/>
  <c r="D296" i="2" l="1"/>
  <c r="E296" i="2" s="1"/>
  <c r="F296" i="2" s="1"/>
  <c r="C297" i="2" s="1"/>
  <c r="D297" i="2" l="1"/>
  <c r="E297" i="2" s="1"/>
  <c r="F297" i="2" s="1"/>
  <c r="C298" i="2" s="1"/>
  <c r="D298" i="2" l="1"/>
  <c r="E298" i="2" s="1"/>
  <c r="F298" i="2" s="1"/>
  <c r="C299" i="2"/>
  <c r="D299" i="2" l="1"/>
  <c r="E299" i="2" s="1"/>
  <c r="F299" i="2" s="1"/>
  <c r="C300" i="2"/>
  <c r="D300" i="2" l="1"/>
  <c r="E300" i="2" s="1"/>
  <c r="F300" i="2" s="1"/>
  <c r="C301" i="2" s="1"/>
  <c r="D301" i="2" l="1"/>
  <c r="E301" i="2" s="1"/>
  <c r="F301" i="2" s="1"/>
  <c r="C302" i="2" s="1"/>
  <c r="D302" i="2" l="1"/>
  <c r="E302" i="2" s="1"/>
  <c r="F302" i="2" s="1"/>
  <c r="C303" i="2" s="1"/>
  <c r="D303" i="2" l="1"/>
  <c r="E303" i="2" s="1"/>
  <c r="F303" i="2" s="1"/>
  <c r="C304" i="2"/>
  <c r="D304" i="2" l="1"/>
  <c r="E304" i="2" s="1"/>
  <c r="F304" i="2" s="1"/>
  <c r="C305" i="2"/>
  <c r="D305" i="2" l="1"/>
  <c r="E305" i="2" s="1"/>
  <c r="F305" i="2" s="1"/>
  <c r="C306" i="2" s="1"/>
  <c r="D306" i="2" l="1"/>
  <c r="E306" i="2" s="1"/>
  <c r="F306" i="2" s="1"/>
  <c r="C307" i="2"/>
  <c r="D307" i="2" l="1"/>
  <c r="E307" i="2" s="1"/>
  <c r="F307" i="2" s="1"/>
  <c r="C308" i="2"/>
  <c r="D308" i="2" l="1"/>
  <c r="E308" i="2" s="1"/>
  <c r="F308" i="2" s="1"/>
  <c r="C309" i="2"/>
  <c r="D309" i="2" l="1"/>
  <c r="E309" i="2" s="1"/>
  <c r="F309" i="2" s="1"/>
  <c r="C310" i="2"/>
  <c r="D310" i="2" l="1"/>
  <c r="E310" i="2" s="1"/>
  <c r="F310" i="2" s="1"/>
  <c r="C311" i="2"/>
  <c r="D311" i="2" l="1"/>
  <c r="E311" i="2" s="1"/>
  <c r="F311" i="2" s="1"/>
  <c r="C312" i="2" s="1"/>
  <c r="D312" i="2" l="1"/>
  <c r="E312" i="2" s="1"/>
  <c r="F312" i="2" s="1"/>
  <c r="C313" i="2"/>
  <c r="D313" i="2" l="1"/>
  <c r="E313" i="2" s="1"/>
  <c r="F313" i="2" s="1"/>
  <c r="C314" i="2" s="1"/>
  <c r="D314" i="2" l="1"/>
  <c r="E314" i="2" s="1"/>
  <c r="F314" i="2" s="1"/>
  <c r="C315" i="2"/>
  <c r="D315" i="2" l="1"/>
  <c r="E315" i="2" s="1"/>
  <c r="F315" i="2" s="1"/>
  <c r="C316" i="2"/>
  <c r="D316" i="2" l="1"/>
  <c r="E316" i="2" s="1"/>
  <c r="F316" i="2" s="1"/>
  <c r="C317" i="2"/>
  <c r="D317" i="2" l="1"/>
  <c r="E317" i="2" s="1"/>
  <c r="F317" i="2" s="1"/>
  <c r="C318" i="2" s="1"/>
  <c r="D318" i="2" l="1"/>
  <c r="E318" i="2" s="1"/>
  <c r="F318" i="2" s="1"/>
  <c r="C319" i="2"/>
  <c r="D319" i="2" l="1"/>
  <c r="E319" i="2" s="1"/>
  <c r="F319" i="2" s="1"/>
  <c r="C320" i="2"/>
  <c r="D320" i="2" l="1"/>
  <c r="E320" i="2" s="1"/>
  <c r="F320" i="2" s="1"/>
  <c r="C321" i="2"/>
  <c r="D321" i="2" l="1"/>
  <c r="E321" i="2" s="1"/>
  <c r="F321" i="2" s="1"/>
  <c r="C322" i="2" s="1"/>
  <c r="D322" i="2" l="1"/>
  <c r="E322" i="2" s="1"/>
  <c r="F322" i="2" s="1"/>
  <c r="C323" i="2"/>
  <c r="D323" i="2" l="1"/>
  <c r="E323" i="2" s="1"/>
  <c r="F323" i="2" s="1"/>
  <c r="C324" i="2"/>
  <c r="D324" i="2" l="1"/>
  <c r="E324" i="2" s="1"/>
  <c r="F324" i="2" s="1"/>
  <c r="C325" i="2"/>
  <c r="D325" i="2" l="1"/>
  <c r="E325" i="2" s="1"/>
  <c r="F325" i="2" s="1"/>
  <c r="C326" i="2"/>
  <c r="D326" i="2" l="1"/>
  <c r="E326" i="2" s="1"/>
  <c r="F326" i="2" s="1"/>
  <c r="C327" i="2"/>
  <c r="D327" i="2" l="1"/>
  <c r="E327" i="2" s="1"/>
  <c r="F327" i="2" s="1"/>
  <c r="C328" i="2" s="1"/>
  <c r="D328" i="2" l="1"/>
  <c r="E328" i="2" s="1"/>
  <c r="F328" i="2" s="1"/>
  <c r="C329" i="2"/>
  <c r="D329" i="2" l="1"/>
  <c r="E329" i="2" s="1"/>
  <c r="F329" i="2" s="1"/>
  <c r="C330" i="2"/>
  <c r="D330" i="2" l="1"/>
  <c r="E330" i="2" s="1"/>
  <c r="F330" i="2" s="1"/>
  <c r="C331" i="2"/>
  <c r="D331" i="2" l="1"/>
  <c r="E331" i="2" s="1"/>
  <c r="F331" i="2" s="1"/>
  <c r="C332" i="2" s="1"/>
  <c r="D332" i="2" l="1"/>
  <c r="E332" i="2" s="1"/>
  <c r="F332" i="2" s="1"/>
  <c r="C333" i="2"/>
  <c r="D333" i="2" l="1"/>
  <c r="E333" i="2" s="1"/>
  <c r="F333" i="2" s="1"/>
  <c r="C334" i="2" s="1"/>
  <c r="D334" i="2" l="1"/>
  <c r="E334" i="2" s="1"/>
  <c r="F334" i="2" s="1"/>
  <c r="C335" i="2"/>
  <c r="D335" i="2" l="1"/>
  <c r="E335" i="2" s="1"/>
  <c r="F335" i="2" s="1"/>
  <c r="C336" i="2"/>
  <c r="D336" i="2" l="1"/>
  <c r="E336" i="2" s="1"/>
  <c r="F336" i="2" s="1"/>
  <c r="C337" i="2"/>
  <c r="D337" i="2" l="1"/>
  <c r="E337" i="2" s="1"/>
  <c r="F337" i="2" s="1"/>
  <c r="C338" i="2" s="1"/>
  <c r="D338" i="2" l="1"/>
  <c r="E338" i="2" s="1"/>
  <c r="F338" i="2" s="1"/>
  <c r="C339" i="2"/>
  <c r="D339" i="2" l="1"/>
  <c r="E339" i="2" s="1"/>
  <c r="F339" i="2" s="1"/>
  <c r="C340" i="2"/>
  <c r="D340" i="2" l="1"/>
  <c r="E340" i="2" s="1"/>
  <c r="F340" i="2" s="1"/>
  <c r="C341" i="2"/>
  <c r="D341" i="2" l="1"/>
  <c r="E341" i="2" s="1"/>
  <c r="F341" i="2" s="1"/>
  <c r="C342" i="2"/>
  <c r="D342" i="2" l="1"/>
  <c r="E342" i="2" s="1"/>
  <c r="F342" i="2" s="1"/>
  <c r="C343" i="2"/>
  <c r="D343" i="2" l="1"/>
  <c r="E343" i="2" s="1"/>
  <c r="F343" i="2" s="1"/>
  <c r="C344" i="2" s="1"/>
  <c r="D344" i="2" l="1"/>
  <c r="E344" i="2" s="1"/>
  <c r="F344" i="2" s="1"/>
  <c r="C345" i="2"/>
  <c r="D345" i="2" l="1"/>
  <c r="E345" i="2" s="1"/>
  <c r="F345" i="2" s="1"/>
  <c r="C346" i="2"/>
  <c r="D346" i="2" l="1"/>
  <c r="E346" i="2" s="1"/>
  <c r="F346" i="2" s="1"/>
  <c r="C347" i="2" s="1"/>
  <c r="D347" i="2" l="1"/>
  <c r="E347" i="2" s="1"/>
  <c r="F347" i="2" s="1"/>
  <c r="C348" i="2"/>
  <c r="D348" i="2" l="1"/>
  <c r="E348" i="2" s="1"/>
  <c r="F348" i="2" s="1"/>
  <c r="C349" i="2" s="1"/>
  <c r="D349" i="2" l="1"/>
  <c r="E349" i="2" s="1"/>
  <c r="F349" i="2" s="1"/>
  <c r="C350" i="2"/>
  <c r="D350" i="2" l="1"/>
  <c r="E350" i="2" s="1"/>
  <c r="F350" i="2" s="1"/>
  <c r="C351" i="2"/>
  <c r="D351" i="2" l="1"/>
  <c r="E351" i="2" s="1"/>
  <c r="F351" i="2" s="1"/>
  <c r="C352" i="2" s="1"/>
  <c r="D352" i="2" l="1"/>
  <c r="E352" i="2" s="1"/>
  <c r="F352" i="2" s="1"/>
  <c r="C353" i="2"/>
  <c r="D353" i="2" l="1"/>
  <c r="E353" i="2" s="1"/>
  <c r="F353" i="2" s="1"/>
  <c r="C354" i="2" s="1"/>
  <c r="D354" i="2" l="1"/>
  <c r="E354" i="2" s="1"/>
  <c r="F354" i="2" s="1"/>
  <c r="C355" i="2"/>
  <c r="D355" i="2" l="1"/>
  <c r="E355" i="2" s="1"/>
  <c r="F355" i="2" s="1"/>
  <c r="C356" i="2" s="1"/>
  <c r="D356" i="2" l="1"/>
  <c r="E356" i="2" s="1"/>
  <c r="F356" i="2" s="1"/>
  <c r="C357" i="2"/>
  <c r="D357" i="2" l="1"/>
  <c r="E357" i="2" s="1"/>
  <c r="F357" i="2" s="1"/>
  <c r="C358" i="2" s="1"/>
  <c r="D358" i="2" l="1"/>
  <c r="E358" i="2" s="1"/>
  <c r="F358" i="2" s="1"/>
  <c r="C359" i="2"/>
  <c r="D359" i="2" l="1"/>
  <c r="E359" i="2" s="1"/>
  <c r="F359" i="2" s="1"/>
  <c r="C360" i="2"/>
  <c r="D360" i="2" l="1"/>
  <c r="E360" i="2" s="1"/>
  <c r="F360" i="2" s="1"/>
  <c r="C361" i="2"/>
  <c r="D361" i="2" l="1"/>
  <c r="E361" i="2" s="1"/>
  <c r="F361" i="2" s="1"/>
  <c r="C362" i="2"/>
  <c r="D362" i="2" l="1"/>
  <c r="E362" i="2" s="1"/>
  <c r="F362" i="2" s="1"/>
  <c r="C363" i="2" s="1"/>
  <c r="D363" i="2" l="1"/>
  <c r="E363" i="2" s="1"/>
  <c r="F363" i="2" s="1"/>
  <c r="C364" i="2"/>
  <c r="D364" i="2" l="1"/>
  <c r="E364" i="2" s="1"/>
  <c r="F364" i="2" s="1"/>
  <c r="C365" i="2" s="1"/>
  <c r="D365" i="2" l="1"/>
  <c r="E365" i="2" s="1"/>
  <c r="F365" i="2" s="1"/>
  <c r="C366" i="2"/>
  <c r="D366" i="2" l="1"/>
  <c r="E366" i="2" s="1"/>
  <c r="F366" i="2" s="1"/>
  <c r="C367" i="2" s="1"/>
  <c r="D367" i="2" l="1"/>
  <c r="E367" i="2" s="1"/>
  <c r="F367" i="2" s="1"/>
  <c r="C368" i="2"/>
  <c r="D368" i="2" l="1"/>
  <c r="E368" i="2" s="1"/>
  <c r="F368" i="2" s="1"/>
  <c r="C369" i="2"/>
  <c r="D369" i="2" l="1"/>
  <c r="E369" i="2" s="1"/>
  <c r="F369" i="2" s="1"/>
  <c r="C370" i="2"/>
  <c r="D370" i="2" l="1"/>
  <c r="E370" i="2" s="1"/>
  <c r="F370" i="2" s="1"/>
  <c r="C371" i="2"/>
  <c r="D371" i="2" l="1"/>
  <c r="E371" i="2" s="1"/>
  <c r="F371" i="2" s="1"/>
  <c r="C372" i="2" s="1"/>
  <c r="D372" i="2" l="1"/>
  <c r="E372" i="2" s="1"/>
  <c r="F372" i="2" s="1"/>
  <c r="C373" i="2" s="1"/>
  <c r="D373" i="2" l="1"/>
  <c r="E373" i="2" s="1"/>
  <c r="F373" i="2" s="1"/>
  <c r="C374" i="2" s="1"/>
  <c r="D374" i="2" l="1"/>
  <c r="E374" i="2" s="1"/>
  <c r="F374" i="2" s="1"/>
  <c r="C375" i="2" s="1"/>
  <c r="D375" i="2" l="1"/>
  <c r="E375" i="2" s="1"/>
  <c r="F375" i="2" s="1"/>
  <c r="C376" i="2" s="1"/>
  <c r="D376" i="2" l="1"/>
  <c r="E376" i="2" s="1"/>
  <c r="F376" i="2" s="1"/>
  <c r="C377" i="2" s="1"/>
  <c r="D377" i="2" l="1"/>
  <c r="E377" i="2" s="1"/>
  <c r="F377" i="2" s="1"/>
  <c r="C378" i="2" s="1"/>
  <c r="D378" i="2" l="1"/>
  <c r="E378" i="2" s="1"/>
  <c r="F378" i="2" s="1"/>
  <c r="C379" i="2" s="1"/>
  <c r="D379" i="2" l="1"/>
  <c r="E379" i="2" s="1"/>
  <c r="F379" i="2" s="1"/>
  <c r="C380" i="2" s="1"/>
  <c r="D380" i="2" l="1"/>
  <c r="E380" i="2" s="1"/>
  <c r="F380" i="2" s="1"/>
  <c r="C381" i="2" s="1"/>
  <c r="D381" i="2" l="1"/>
  <c r="E381" i="2" s="1"/>
  <c r="F381" i="2" s="1"/>
  <c r="C382" i="2" s="1"/>
  <c r="D382" i="2" l="1"/>
  <c r="E382" i="2" s="1"/>
  <c r="F382" i="2" s="1"/>
  <c r="C383" i="2" s="1"/>
  <c r="D383" i="2" l="1"/>
  <c r="E383" i="2" s="1"/>
  <c r="F383" i="2" s="1"/>
  <c r="C384" i="2" s="1"/>
  <c r="D384" i="2" l="1"/>
  <c r="E384" i="2" s="1"/>
  <c r="F384" i="2" s="1"/>
  <c r="C385" i="2" s="1"/>
  <c r="D385" i="2" l="1"/>
  <c r="E385" i="2" s="1"/>
  <c r="F385" i="2" s="1"/>
  <c r="C386" i="2" s="1"/>
  <c r="D386" i="2" l="1"/>
  <c r="E386" i="2" s="1"/>
  <c r="F386" i="2" s="1"/>
  <c r="C387" i="2" s="1"/>
  <c r="D387" i="2" l="1"/>
  <c r="E387" i="2" s="1"/>
  <c r="F387" i="2" s="1"/>
  <c r="C388" i="2" s="1"/>
  <c r="D388" i="2" l="1"/>
  <c r="E388" i="2" s="1"/>
  <c r="F388" i="2" s="1"/>
  <c r="C389" i="2" s="1"/>
  <c r="D389" i="2" l="1"/>
  <c r="E389" i="2" s="1"/>
  <c r="F389" i="2" s="1"/>
  <c r="C390" i="2"/>
  <c r="D390" i="2" l="1"/>
  <c r="E390" i="2" s="1"/>
  <c r="F390" i="2" s="1"/>
  <c r="C391" i="2" s="1"/>
  <c r="D391" i="2" l="1"/>
  <c r="E391" i="2" s="1"/>
  <c r="F391" i="2" s="1"/>
  <c r="C392" i="2" s="1"/>
  <c r="D392" i="2" l="1"/>
  <c r="E392" i="2" s="1"/>
  <c r="F392" i="2" s="1"/>
  <c r="C393" i="2" s="1"/>
  <c r="D393" i="2" l="1"/>
  <c r="E393" i="2" s="1"/>
  <c r="F393" i="2" s="1"/>
  <c r="C394" i="2" s="1"/>
  <c r="D394" i="2" l="1"/>
  <c r="E394" i="2" s="1"/>
  <c r="F394" i="2" s="1"/>
  <c r="C395" i="2"/>
  <c r="D395" i="2" l="1"/>
  <c r="E395" i="2" s="1"/>
  <c r="F395" i="2" s="1"/>
  <c r="C396" i="2"/>
  <c r="D396" i="2" l="1"/>
  <c r="E396" i="2" s="1"/>
  <c r="F396" i="2" s="1"/>
  <c r="C397" i="2"/>
  <c r="D397" i="2" l="1"/>
  <c r="E397" i="2" s="1"/>
  <c r="F397" i="2" s="1"/>
  <c r="C398" i="2"/>
  <c r="D398" i="2" l="1"/>
  <c r="E398" i="2" s="1"/>
  <c r="F398" i="2" s="1"/>
  <c r="C399" i="2"/>
  <c r="D399" i="2" l="1"/>
  <c r="E399" i="2" s="1"/>
  <c r="F399" i="2" s="1"/>
  <c r="C400" i="2"/>
  <c r="D400" i="2" l="1"/>
  <c r="E400" i="2" s="1"/>
  <c r="F400" i="2" s="1"/>
  <c r="C401" i="2" s="1"/>
  <c r="D401" i="2" l="1"/>
  <c r="E401" i="2" s="1"/>
  <c r="F401" i="2" s="1"/>
  <c r="C402" i="2"/>
  <c r="D402" i="2" l="1"/>
  <c r="E402" i="2" s="1"/>
  <c r="F402" i="2" s="1"/>
  <c r="C403" i="2"/>
  <c r="D403" i="2" l="1"/>
  <c r="E403" i="2" s="1"/>
  <c r="F403" i="2" s="1"/>
  <c r="C404" i="2"/>
  <c r="D404" i="2" l="1"/>
  <c r="E404" i="2" s="1"/>
  <c r="F404" i="2" s="1"/>
  <c r="C405" i="2"/>
  <c r="D405" i="2" l="1"/>
  <c r="E405" i="2" s="1"/>
  <c r="F405" i="2" s="1"/>
  <c r="C406" i="2"/>
  <c r="D406" i="2" l="1"/>
  <c r="E406" i="2" s="1"/>
  <c r="F406" i="2" s="1"/>
  <c r="C407" i="2"/>
  <c r="D407" i="2" l="1"/>
  <c r="E407" i="2" s="1"/>
  <c r="F407" i="2" s="1"/>
  <c r="C408" i="2"/>
  <c r="D408" i="2" l="1"/>
  <c r="E408" i="2" s="1"/>
  <c r="F408" i="2" s="1"/>
  <c r="C409" i="2"/>
  <c r="D409" i="2" l="1"/>
  <c r="E409" i="2" s="1"/>
  <c r="F409" i="2" s="1"/>
  <c r="C410" i="2"/>
  <c r="D410" i="2" l="1"/>
  <c r="E410" i="2" s="1"/>
  <c r="F410" i="2" s="1"/>
  <c r="C411" i="2" s="1"/>
  <c r="D411" i="2" l="1"/>
  <c r="E411" i="2" s="1"/>
  <c r="F411" i="2" s="1"/>
  <c r="C412" i="2"/>
  <c r="D412" i="2" l="1"/>
  <c r="E412" i="2" s="1"/>
  <c r="F412" i="2" s="1"/>
  <c r="C413" i="2"/>
  <c r="D413" i="2" l="1"/>
  <c r="E413" i="2" s="1"/>
  <c r="F413" i="2" s="1"/>
  <c r="C414" i="2"/>
  <c r="D414" i="2" l="1"/>
  <c r="E414" i="2" s="1"/>
  <c r="F414" i="2" s="1"/>
  <c r="C415" i="2"/>
  <c r="D415" i="2" l="1"/>
  <c r="E415" i="2" s="1"/>
  <c r="F415" i="2" s="1"/>
  <c r="C416" i="2"/>
  <c r="D416" i="2" l="1"/>
  <c r="E416" i="2" s="1"/>
  <c r="F416" i="2" s="1"/>
  <c r="C417" i="2" s="1"/>
  <c r="D417" i="2" l="1"/>
  <c r="E417" i="2" s="1"/>
  <c r="F417" i="2" s="1"/>
  <c r="C418" i="2"/>
  <c r="D418" i="2" l="1"/>
  <c r="E418" i="2" s="1"/>
  <c r="F418" i="2" s="1"/>
  <c r="C419" i="2" s="1"/>
  <c r="D419" i="2" l="1"/>
  <c r="E419" i="2" s="1"/>
  <c r="F419" i="2" s="1"/>
  <c r="C420" i="2"/>
  <c r="D420" i="2" l="1"/>
  <c r="E420" i="2" s="1"/>
  <c r="F420" i="2" s="1"/>
  <c r="C421" i="2"/>
  <c r="D421" i="2" l="1"/>
  <c r="E421" i="2" s="1"/>
  <c r="F421" i="2" s="1"/>
  <c r="C422" i="2"/>
  <c r="D422" i="2" l="1"/>
  <c r="E422" i="2" s="1"/>
  <c r="F422" i="2" s="1"/>
  <c r="C423" i="2" s="1"/>
  <c r="D423" i="2" l="1"/>
  <c r="E423" i="2" s="1"/>
  <c r="F423" i="2" s="1"/>
  <c r="C424" i="2"/>
  <c r="D424" i="2" l="1"/>
  <c r="E424" i="2" s="1"/>
  <c r="F424" i="2" s="1"/>
  <c r="C425" i="2"/>
  <c r="D425" i="2" l="1"/>
  <c r="E425" i="2" s="1"/>
  <c r="F425" i="2" s="1"/>
  <c r="C426" i="2"/>
  <c r="D426" i="2" l="1"/>
  <c r="E426" i="2" s="1"/>
  <c r="F426" i="2" s="1"/>
  <c r="C427" i="2"/>
  <c r="D427" i="2" l="1"/>
  <c r="E427" i="2" s="1"/>
  <c r="F427" i="2" s="1"/>
  <c r="C428" i="2"/>
  <c r="D428" i="2" l="1"/>
  <c r="E428" i="2" s="1"/>
  <c r="F428" i="2" s="1"/>
  <c r="C429" i="2"/>
  <c r="D429" i="2" l="1"/>
  <c r="E429" i="2" s="1"/>
  <c r="F429" i="2" s="1"/>
  <c r="C430" i="2"/>
  <c r="D430" i="2" l="1"/>
  <c r="E430" i="2" s="1"/>
  <c r="F430" i="2" s="1"/>
  <c r="C431" i="2"/>
  <c r="D431" i="2" l="1"/>
  <c r="E431" i="2" s="1"/>
  <c r="F431" i="2" s="1"/>
  <c r="C432" i="2" s="1"/>
  <c r="D432" i="2" l="1"/>
  <c r="E432" i="2" s="1"/>
  <c r="F432" i="2" s="1"/>
  <c r="C433" i="2" s="1"/>
  <c r="D433" i="2" l="1"/>
  <c r="E433" i="2" s="1"/>
  <c r="F433" i="2" s="1"/>
  <c r="C434" i="2"/>
  <c r="D434" i="2" l="1"/>
  <c r="E434" i="2" s="1"/>
  <c r="F434" i="2" s="1"/>
  <c r="C435" i="2" s="1"/>
  <c r="D435" i="2" l="1"/>
  <c r="E435" i="2" s="1"/>
  <c r="F435" i="2" s="1"/>
  <c r="C436" i="2"/>
  <c r="D436" i="2" l="1"/>
  <c r="E436" i="2" s="1"/>
  <c r="F436" i="2" s="1"/>
  <c r="C437" i="2"/>
  <c r="D437" i="2" l="1"/>
  <c r="E437" i="2" s="1"/>
  <c r="F437" i="2" s="1"/>
  <c r="C438" i="2"/>
  <c r="D438" i="2" l="1"/>
  <c r="E438" i="2" s="1"/>
  <c r="F438" i="2" s="1"/>
  <c r="C439" i="2"/>
  <c r="D439" i="2" l="1"/>
  <c r="E439" i="2" s="1"/>
  <c r="F439" i="2" s="1"/>
  <c r="C440" i="2"/>
  <c r="D440" i="2" l="1"/>
  <c r="E440" i="2" s="1"/>
  <c r="F440" i="2" s="1"/>
  <c r="C441" i="2"/>
  <c r="D441" i="2" l="1"/>
  <c r="E441" i="2" s="1"/>
  <c r="F441" i="2" s="1"/>
  <c r="C442" i="2" s="1"/>
  <c r="D442" i="2" l="1"/>
  <c r="E442" i="2" s="1"/>
  <c r="F442" i="2" s="1"/>
  <c r="C443" i="2"/>
  <c r="D443" i="2" l="1"/>
  <c r="E443" i="2" s="1"/>
  <c r="F443" i="2" s="1"/>
  <c r="C444" i="2"/>
  <c r="D444" i="2" l="1"/>
  <c r="E444" i="2" s="1"/>
  <c r="F444" i="2" s="1"/>
  <c r="C445" i="2"/>
  <c r="D445" i="2" l="1"/>
  <c r="E445" i="2" s="1"/>
  <c r="F445" i="2" s="1"/>
  <c r="C446" i="2"/>
  <c r="D446" i="2" l="1"/>
  <c r="E446" i="2" s="1"/>
  <c r="F446" i="2" s="1"/>
  <c r="C447" i="2"/>
  <c r="D447" i="2" l="1"/>
  <c r="E447" i="2" s="1"/>
  <c r="F447" i="2" s="1"/>
  <c r="C448" i="2"/>
  <c r="D448" i="2" l="1"/>
  <c r="E448" i="2" s="1"/>
  <c r="F448" i="2" s="1"/>
  <c r="C449" i="2"/>
  <c r="D449" i="2" l="1"/>
  <c r="E449" i="2" s="1"/>
  <c r="F449" i="2" s="1"/>
  <c r="C450" i="2"/>
  <c r="D450" i="2" l="1"/>
  <c r="E450" i="2" s="1"/>
  <c r="F450" i="2" s="1"/>
  <c r="C451" i="2"/>
  <c r="D451" i="2" l="1"/>
  <c r="E451" i="2" s="1"/>
  <c r="F451" i="2" s="1"/>
  <c r="C452" i="2" s="1"/>
  <c r="D452" i="2" l="1"/>
  <c r="E452" i="2" s="1"/>
  <c r="F452" i="2" s="1"/>
  <c r="C453" i="2"/>
  <c r="D453" i="2" l="1"/>
  <c r="E453" i="2" s="1"/>
  <c r="F453" i="2" s="1"/>
  <c r="C454" i="2"/>
  <c r="D454" i="2" l="1"/>
  <c r="E454" i="2" s="1"/>
  <c r="F454" i="2" s="1"/>
  <c r="C455" i="2" s="1"/>
  <c r="D455" i="2" l="1"/>
  <c r="E455" i="2" s="1"/>
  <c r="F455" i="2" s="1"/>
  <c r="C456" i="2"/>
  <c r="D456" i="2" l="1"/>
  <c r="E456" i="2" s="1"/>
  <c r="F456" i="2" s="1"/>
  <c r="C457" i="2"/>
  <c r="D457" i="2" l="1"/>
  <c r="E457" i="2" s="1"/>
  <c r="F457" i="2" s="1"/>
  <c r="C458" i="2" s="1"/>
  <c r="D458" i="2" l="1"/>
  <c r="E458" i="2" s="1"/>
  <c r="F458" i="2" s="1"/>
  <c r="C459" i="2"/>
  <c r="D459" i="2" l="1"/>
  <c r="E459" i="2" s="1"/>
  <c r="F459" i="2" s="1"/>
  <c r="C460" i="2"/>
  <c r="D460" i="2" l="1"/>
  <c r="E460" i="2" s="1"/>
  <c r="F460" i="2" s="1"/>
  <c r="C461" i="2"/>
  <c r="D461" i="2" l="1"/>
  <c r="E461" i="2" s="1"/>
  <c r="F461" i="2" s="1"/>
  <c r="C462" i="2"/>
  <c r="D462" i="2" l="1"/>
  <c r="E462" i="2" s="1"/>
  <c r="F462" i="2" s="1"/>
  <c r="C463" i="2"/>
  <c r="D463" i="2" l="1"/>
  <c r="E463" i="2" s="1"/>
  <c r="F463" i="2" s="1"/>
  <c r="C464" i="2" s="1"/>
  <c r="D464" i="2" l="1"/>
  <c r="E464" i="2" s="1"/>
  <c r="F464" i="2" s="1"/>
  <c r="C465" i="2"/>
  <c r="D465" i="2" l="1"/>
  <c r="E465" i="2" s="1"/>
  <c r="F465" i="2" s="1"/>
  <c r="C466" i="2"/>
  <c r="D466" i="2" l="1"/>
  <c r="E466" i="2" s="1"/>
  <c r="F466" i="2" s="1"/>
  <c r="C467" i="2"/>
  <c r="D467" i="2" l="1"/>
  <c r="E467" i="2" s="1"/>
  <c r="F467" i="2" s="1"/>
  <c r="C468" i="2" s="1"/>
  <c r="D468" i="2" l="1"/>
  <c r="E468" i="2" s="1"/>
  <c r="F468" i="2" s="1"/>
  <c r="C469" i="2"/>
  <c r="D469" i="2" l="1"/>
  <c r="E469" i="2" s="1"/>
  <c r="F469" i="2" s="1"/>
  <c r="C470" i="2"/>
  <c r="D470" i="2" l="1"/>
  <c r="E470" i="2" s="1"/>
  <c r="F470" i="2" s="1"/>
  <c r="C471" i="2" s="1"/>
  <c r="D471" i="2" l="1"/>
  <c r="E471" i="2" s="1"/>
  <c r="F471" i="2" s="1"/>
  <c r="C472" i="2"/>
  <c r="D472" i="2" l="1"/>
  <c r="E472" i="2" s="1"/>
  <c r="F472" i="2" s="1"/>
  <c r="C473" i="2"/>
  <c r="D473" i="2" l="1"/>
  <c r="E473" i="2" s="1"/>
  <c r="F473" i="2" s="1"/>
  <c r="C474" i="2" s="1"/>
  <c r="D474" i="2" l="1"/>
  <c r="E474" i="2" s="1"/>
  <c r="F474" i="2" s="1"/>
  <c r="C475" i="2" s="1"/>
  <c r="D475" i="2" l="1"/>
  <c r="E475" i="2" s="1"/>
  <c r="F475" i="2" s="1"/>
  <c r="C476" i="2"/>
  <c r="D476" i="2" l="1"/>
  <c r="E476" i="2" s="1"/>
  <c r="F476" i="2" s="1"/>
  <c r="C477" i="2"/>
  <c r="D477" i="2" l="1"/>
  <c r="E477" i="2" s="1"/>
  <c r="F477" i="2" s="1"/>
  <c r="C478" i="2"/>
  <c r="D478" i="2" l="1"/>
  <c r="E478" i="2" s="1"/>
  <c r="F478" i="2" s="1"/>
  <c r="C479" i="2"/>
  <c r="D479" i="2" l="1"/>
  <c r="E479" i="2" s="1"/>
  <c r="F479" i="2" s="1"/>
  <c r="C480" i="2"/>
  <c r="D480" i="2" l="1"/>
  <c r="E480" i="2" s="1"/>
  <c r="F480" i="2" s="1"/>
  <c r="C481" i="2"/>
  <c r="D481" i="2" l="1"/>
  <c r="E481" i="2" s="1"/>
  <c r="F481" i="2" s="1"/>
  <c r="C482" i="2"/>
  <c r="D482" i="2" l="1"/>
  <c r="E482" i="2" s="1"/>
  <c r="F482" i="2" s="1"/>
  <c r="C483" i="2" s="1"/>
  <c r="D483" i="2" l="1"/>
  <c r="E483" i="2" s="1"/>
  <c r="F483" i="2" s="1"/>
  <c r="C484" i="2" s="1"/>
  <c r="D484" i="2" l="1"/>
  <c r="E484" i="2" s="1"/>
  <c r="F484" i="2" s="1"/>
  <c r="C485" i="2"/>
  <c r="D485" i="2" l="1"/>
  <c r="E485" i="2" s="1"/>
  <c r="F485" i="2" s="1"/>
  <c r="C486" i="2"/>
  <c r="D486" i="2" l="1"/>
  <c r="E486" i="2" s="1"/>
  <c r="F486" i="2" s="1"/>
  <c r="C487" i="2" s="1"/>
  <c r="H12" i="2" l="1"/>
  <c r="D487" i="2"/>
  <c r="E487" i="2" l="1"/>
  <c r="I12" i="2"/>
  <c r="J12" i="2" l="1"/>
  <c r="F487" i="2"/>
  <c r="K12" i="2" l="1"/>
  <c r="C488" i="2"/>
  <c r="D488" i="2" l="1"/>
  <c r="E488" i="2" s="1"/>
  <c r="F488" i="2" s="1"/>
  <c r="C489" i="2" s="1"/>
  <c r="D489" i="2" l="1"/>
  <c r="E489" i="2" s="1"/>
  <c r="F489" i="2" s="1"/>
  <c r="C490" i="2"/>
  <c r="D490" i="2" l="1"/>
  <c r="E490" i="2" s="1"/>
  <c r="F490" i="2" s="1"/>
  <c r="C491" i="2" s="1"/>
  <c r="D491" i="2" l="1"/>
  <c r="E491" i="2" s="1"/>
  <c r="F491" i="2" s="1"/>
  <c r="C492" i="2"/>
  <c r="D492" i="2" l="1"/>
  <c r="E492" i="2" s="1"/>
  <c r="F492" i="2" s="1"/>
  <c r="C493" i="2"/>
  <c r="D493" i="2" l="1"/>
  <c r="E493" i="2" s="1"/>
  <c r="F493" i="2" s="1"/>
  <c r="C494" i="2"/>
  <c r="D494" i="2" l="1"/>
  <c r="E494" i="2" s="1"/>
  <c r="F494" i="2" s="1"/>
  <c r="C495" i="2"/>
  <c r="D495" i="2" l="1"/>
  <c r="E495" i="2" s="1"/>
  <c r="F495" i="2" s="1"/>
  <c r="C496" i="2"/>
  <c r="D496" i="2" l="1"/>
  <c r="E496" i="2" s="1"/>
  <c r="F496" i="2" s="1"/>
  <c r="C497" i="2"/>
  <c r="D497" i="2" l="1"/>
  <c r="E497" i="2" s="1"/>
  <c r="F497" i="2" s="1"/>
  <c r="C498" i="2"/>
  <c r="D498" i="2" l="1"/>
  <c r="E498" i="2" s="1"/>
  <c r="F498" i="2" s="1"/>
  <c r="C499" i="2"/>
  <c r="D499" i="2" l="1"/>
  <c r="E499" i="2" s="1"/>
  <c r="F499" i="2" s="1"/>
  <c r="C500" i="2"/>
  <c r="D500" i="2" l="1"/>
  <c r="E500" i="2" s="1"/>
  <c r="F500" i="2" s="1"/>
  <c r="C501" i="2" s="1"/>
  <c r="D501" i="2" l="1"/>
  <c r="E501" i="2" s="1"/>
  <c r="F501" i="2" s="1"/>
  <c r="C502" i="2"/>
  <c r="D502" i="2" l="1"/>
  <c r="E502" i="2" s="1"/>
  <c r="F502" i="2" s="1"/>
  <c r="C503" i="2"/>
  <c r="D503" i="2" l="1"/>
  <c r="E503" i="2" s="1"/>
  <c r="F503" i="2" s="1"/>
  <c r="C504" i="2" s="1"/>
  <c r="D504" i="2" l="1"/>
  <c r="E504" i="2" s="1"/>
  <c r="F504" i="2" s="1"/>
  <c r="C505" i="2"/>
  <c r="D505" i="2" l="1"/>
  <c r="E505" i="2" s="1"/>
  <c r="F505" i="2" s="1"/>
  <c r="C506" i="2"/>
  <c r="D506" i="2" l="1"/>
  <c r="E506" i="2" s="1"/>
  <c r="F506" i="2" s="1"/>
  <c r="C507" i="2"/>
  <c r="D507" i="2" l="1"/>
  <c r="E507" i="2" s="1"/>
  <c r="F507" i="2" s="1"/>
  <c r="C508" i="2"/>
  <c r="D508" i="2" l="1"/>
  <c r="E508" i="2" s="1"/>
  <c r="F508" i="2" s="1"/>
  <c r="C509" i="2" s="1"/>
  <c r="D509" i="2" l="1"/>
  <c r="E509" i="2" s="1"/>
  <c r="F509" i="2" s="1"/>
  <c r="C510" i="2"/>
  <c r="D510" i="2" l="1"/>
  <c r="E510" i="2" s="1"/>
  <c r="F510" i="2" s="1"/>
  <c r="C511" i="2"/>
  <c r="D511" i="2" l="1"/>
  <c r="E511" i="2" s="1"/>
  <c r="F511" i="2" s="1"/>
  <c r="C512" i="2" s="1"/>
  <c r="D512" i="2" l="1"/>
  <c r="E512" i="2" s="1"/>
  <c r="F512" i="2" s="1"/>
  <c r="C513" i="2"/>
  <c r="D513" i="2" l="1"/>
  <c r="E513" i="2" s="1"/>
  <c r="F513" i="2" s="1"/>
  <c r="C514" i="2"/>
  <c r="D514" i="2" l="1"/>
  <c r="E514" i="2" s="1"/>
  <c r="F514" i="2" s="1"/>
  <c r="C515" i="2"/>
  <c r="D515" i="2" l="1"/>
  <c r="E515" i="2" s="1"/>
  <c r="F515" i="2" s="1"/>
  <c r="C516" i="2"/>
  <c r="D516" i="2" l="1"/>
  <c r="E516" i="2" s="1"/>
  <c r="F516" i="2" s="1"/>
  <c r="C517" i="2" s="1"/>
  <c r="D517" i="2" l="1"/>
  <c r="E517" i="2" s="1"/>
  <c r="F517" i="2" s="1"/>
  <c r="C518" i="2" s="1"/>
  <c r="D518" i="2" l="1"/>
  <c r="E518" i="2" s="1"/>
  <c r="F518" i="2" s="1"/>
  <c r="C519" i="2" s="1"/>
  <c r="D519" i="2" l="1"/>
  <c r="E519" i="2" s="1"/>
  <c r="F519" i="2" s="1"/>
  <c r="C520" i="2" s="1"/>
  <c r="D520" i="2" l="1"/>
  <c r="E520" i="2" s="1"/>
  <c r="F520" i="2" s="1"/>
  <c r="C521" i="2" s="1"/>
  <c r="D521" i="2" l="1"/>
  <c r="E521" i="2" s="1"/>
  <c r="F521" i="2" s="1"/>
  <c r="C522" i="2"/>
  <c r="D522" i="2" l="1"/>
  <c r="E522" i="2" s="1"/>
  <c r="F522" i="2" s="1"/>
  <c r="C523" i="2"/>
  <c r="D523" i="2" l="1"/>
  <c r="E523" i="2" s="1"/>
  <c r="F523" i="2" s="1"/>
  <c r="C524" i="2"/>
  <c r="D524" i="2" l="1"/>
  <c r="E524" i="2" s="1"/>
  <c r="F524" i="2" s="1"/>
  <c r="C525" i="2" s="1"/>
  <c r="D525" i="2" l="1"/>
  <c r="E525" i="2" s="1"/>
  <c r="F525" i="2" s="1"/>
  <c r="C526" i="2"/>
  <c r="D526" i="2" l="1"/>
  <c r="E526" i="2" s="1"/>
  <c r="F526" i="2" s="1"/>
  <c r="C527" i="2"/>
  <c r="D527" i="2" l="1"/>
  <c r="E527" i="2" s="1"/>
  <c r="F527" i="2" s="1"/>
  <c r="C528" i="2" s="1"/>
  <c r="D528" i="2" l="1"/>
  <c r="E528" i="2" s="1"/>
  <c r="F528" i="2" s="1"/>
  <c r="C529" i="2"/>
  <c r="D529" i="2" l="1"/>
  <c r="E529" i="2" s="1"/>
  <c r="F529" i="2" s="1"/>
  <c r="C530" i="2"/>
  <c r="D530" i="2" l="1"/>
  <c r="E530" i="2" s="1"/>
  <c r="F530" i="2" s="1"/>
  <c r="C531" i="2"/>
  <c r="D531" i="2" l="1"/>
  <c r="E531" i="2" s="1"/>
  <c r="F531" i="2" s="1"/>
  <c r="C532" i="2"/>
  <c r="D532" i="2" l="1"/>
  <c r="E532" i="2" s="1"/>
  <c r="F532" i="2" s="1"/>
  <c r="C533" i="2" s="1"/>
  <c r="D533" i="2" l="1"/>
  <c r="E533" i="2" s="1"/>
  <c r="F533" i="2" s="1"/>
  <c r="C534" i="2"/>
  <c r="D534" i="2" l="1"/>
  <c r="E534" i="2" s="1"/>
  <c r="F534" i="2" s="1"/>
  <c r="C535" i="2"/>
  <c r="D535" i="2" l="1"/>
  <c r="E535" i="2" s="1"/>
  <c r="F535" i="2" s="1"/>
  <c r="C536" i="2" s="1"/>
  <c r="D536" i="2" l="1"/>
  <c r="E536" i="2" s="1"/>
  <c r="F536" i="2" s="1"/>
  <c r="C537" i="2"/>
  <c r="D537" i="2" l="1"/>
  <c r="E537" i="2" s="1"/>
  <c r="F537" i="2" s="1"/>
  <c r="C538" i="2" s="1"/>
  <c r="D538" i="2" l="1"/>
  <c r="E538" i="2" s="1"/>
  <c r="F538" i="2" s="1"/>
  <c r="C539" i="2"/>
  <c r="D539" i="2" l="1"/>
  <c r="E539" i="2" s="1"/>
  <c r="F539" i="2" s="1"/>
  <c r="C540" i="2" s="1"/>
  <c r="D540" i="2" l="1"/>
  <c r="E540" i="2" s="1"/>
  <c r="F540" i="2" s="1"/>
  <c r="C541" i="2"/>
  <c r="D541" i="2" l="1"/>
  <c r="E541" i="2" s="1"/>
  <c r="F541" i="2" s="1"/>
  <c r="C542" i="2"/>
  <c r="D542" i="2" l="1"/>
  <c r="E542" i="2" s="1"/>
  <c r="F542" i="2" s="1"/>
  <c r="C543" i="2"/>
  <c r="D543" i="2" l="1"/>
  <c r="E543" i="2" s="1"/>
  <c r="F543" i="2" s="1"/>
  <c r="C544" i="2"/>
  <c r="D544" i="2" l="1"/>
  <c r="E544" i="2" s="1"/>
  <c r="F544" i="2" s="1"/>
  <c r="C545" i="2" s="1"/>
  <c r="D545" i="2" l="1"/>
  <c r="E545" i="2" s="1"/>
  <c r="F545" i="2" s="1"/>
  <c r="C546" i="2"/>
  <c r="D546" i="2" l="1"/>
  <c r="E546" i="2" s="1"/>
  <c r="F546" i="2" s="1"/>
  <c r="C547" i="2" s="1"/>
  <c r="D547" i="2" l="1"/>
  <c r="E547" i="2" s="1"/>
  <c r="F547" i="2" s="1"/>
  <c r="C548" i="2" s="1"/>
  <c r="D548" i="2" l="1"/>
  <c r="E548" i="2" s="1"/>
  <c r="F548" i="2" s="1"/>
  <c r="C549" i="2" s="1"/>
  <c r="D549" i="2" l="1"/>
  <c r="E549" i="2" s="1"/>
  <c r="F549" i="2" s="1"/>
  <c r="C550" i="2"/>
  <c r="D550" i="2" l="1"/>
  <c r="E550" i="2" s="1"/>
  <c r="F550" i="2" s="1"/>
  <c r="C551" i="2"/>
  <c r="D551" i="2" l="1"/>
  <c r="E551" i="2" s="1"/>
  <c r="F551" i="2" s="1"/>
  <c r="C552" i="2" s="1"/>
  <c r="D552" i="2" l="1"/>
  <c r="E552" i="2" s="1"/>
  <c r="F552" i="2" s="1"/>
  <c r="C553" i="2"/>
  <c r="D553" i="2" l="1"/>
  <c r="E553" i="2" s="1"/>
  <c r="F553" i="2" s="1"/>
  <c r="C554" i="2" s="1"/>
  <c r="D554" i="2" l="1"/>
  <c r="E554" i="2" s="1"/>
  <c r="F554" i="2" s="1"/>
  <c r="C555" i="2"/>
  <c r="D555" i="2" l="1"/>
  <c r="E555" i="2" s="1"/>
  <c r="F555" i="2" s="1"/>
  <c r="C556" i="2" s="1"/>
  <c r="D556" i="2" l="1"/>
  <c r="E556" i="2" s="1"/>
  <c r="F556" i="2" s="1"/>
  <c r="C557" i="2"/>
  <c r="D557" i="2" l="1"/>
  <c r="E557" i="2" s="1"/>
  <c r="F557" i="2" s="1"/>
  <c r="C558" i="2" s="1"/>
  <c r="D558" i="2" l="1"/>
  <c r="E558" i="2" s="1"/>
  <c r="F558" i="2" s="1"/>
  <c r="C559" i="2"/>
  <c r="D559" i="2" l="1"/>
  <c r="E559" i="2" s="1"/>
  <c r="F559" i="2" s="1"/>
  <c r="C560" i="2" s="1"/>
  <c r="D560" i="2" l="1"/>
  <c r="E560" i="2" s="1"/>
  <c r="F560" i="2" s="1"/>
  <c r="C561" i="2"/>
  <c r="D561" i="2" l="1"/>
  <c r="E561" i="2" s="1"/>
  <c r="F561" i="2" s="1"/>
  <c r="C562" i="2" s="1"/>
  <c r="D562" i="2" l="1"/>
  <c r="E562" i="2" s="1"/>
  <c r="F562" i="2" s="1"/>
  <c r="C563" i="2"/>
  <c r="D563" i="2" l="1"/>
  <c r="E563" i="2" s="1"/>
  <c r="F563" i="2" s="1"/>
  <c r="C564" i="2" s="1"/>
  <c r="D564" i="2" l="1"/>
  <c r="E564" i="2" s="1"/>
  <c r="F564" i="2" s="1"/>
  <c r="C565" i="2"/>
  <c r="D565" i="2" l="1"/>
  <c r="E565" i="2" s="1"/>
  <c r="F565" i="2" s="1"/>
  <c r="C566" i="2" s="1"/>
  <c r="D566" i="2" l="1"/>
  <c r="E566" i="2" s="1"/>
  <c r="F566" i="2" s="1"/>
  <c r="C567" i="2"/>
  <c r="D567" i="2" l="1"/>
  <c r="E567" i="2" s="1"/>
  <c r="F567" i="2" s="1"/>
  <c r="C568" i="2" s="1"/>
  <c r="D568" i="2" l="1"/>
  <c r="E568" i="2" s="1"/>
  <c r="F568" i="2" s="1"/>
  <c r="C569" i="2"/>
  <c r="D569" i="2" l="1"/>
  <c r="E569" i="2" s="1"/>
  <c r="F569" i="2" s="1"/>
  <c r="C570" i="2" s="1"/>
  <c r="D570" i="2" l="1"/>
  <c r="E570" i="2" s="1"/>
  <c r="F570" i="2" s="1"/>
  <c r="C571" i="2"/>
  <c r="D571" i="2" l="1"/>
  <c r="E571" i="2" s="1"/>
  <c r="F571" i="2" s="1"/>
  <c r="C572" i="2" s="1"/>
  <c r="D572" i="2" l="1"/>
  <c r="E572" i="2" s="1"/>
  <c r="F572" i="2" s="1"/>
  <c r="C573" i="2"/>
  <c r="D573" i="2" l="1"/>
  <c r="E573" i="2" s="1"/>
  <c r="F573" i="2" s="1"/>
  <c r="C574" i="2" s="1"/>
  <c r="D574" i="2" l="1"/>
  <c r="E574" i="2" s="1"/>
  <c r="F574" i="2" s="1"/>
  <c r="C575" i="2"/>
  <c r="D575" i="2" l="1"/>
  <c r="E575" i="2" s="1"/>
  <c r="F575" i="2" s="1"/>
  <c r="C576" i="2" s="1"/>
  <c r="D576" i="2" l="1"/>
  <c r="E576" i="2" s="1"/>
  <c r="F576" i="2" s="1"/>
  <c r="C577" i="2"/>
  <c r="D577" i="2" l="1"/>
  <c r="E577" i="2" s="1"/>
  <c r="F577" i="2" s="1"/>
  <c r="C578" i="2" s="1"/>
  <c r="D578" i="2" l="1"/>
  <c r="E578" i="2" s="1"/>
  <c r="F578" i="2" s="1"/>
  <c r="C579" i="2"/>
  <c r="D579" i="2" l="1"/>
  <c r="E579" i="2" s="1"/>
  <c r="F579" i="2" s="1"/>
  <c r="C580" i="2" s="1"/>
  <c r="D580" i="2" l="1"/>
  <c r="E580" i="2" s="1"/>
  <c r="F580" i="2" s="1"/>
  <c r="C581" i="2"/>
  <c r="D581" i="2" l="1"/>
  <c r="E581" i="2" s="1"/>
  <c r="F581" i="2" s="1"/>
  <c r="C582" i="2" s="1"/>
  <c r="D582" i="2" l="1"/>
  <c r="E582" i="2" s="1"/>
  <c r="F582" i="2" s="1"/>
  <c r="C583" i="2" s="1"/>
  <c r="D583" i="2" l="1"/>
  <c r="E583" i="2" s="1"/>
  <c r="F583" i="2" s="1"/>
  <c r="C584" i="2" s="1"/>
  <c r="D584" i="2" l="1"/>
  <c r="E584" i="2" s="1"/>
  <c r="F584" i="2" s="1"/>
  <c r="C585" i="2"/>
  <c r="D585" i="2" l="1"/>
  <c r="E585" i="2" s="1"/>
  <c r="F585" i="2" s="1"/>
  <c r="C586" i="2" s="1"/>
  <c r="D586" i="2" l="1"/>
  <c r="E586" i="2" s="1"/>
  <c r="F586" i="2" s="1"/>
  <c r="C587" i="2"/>
  <c r="D587" i="2" l="1"/>
  <c r="E587" i="2" s="1"/>
  <c r="F587" i="2" s="1"/>
  <c r="C588" i="2" s="1"/>
  <c r="D588" i="2" l="1"/>
  <c r="E588" i="2" s="1"/>
  <c r="F588" i="2" s="1"/>
  <c r="C589" i="2" s="1"/>
  <c r="D589" i="2" l="1"/>
  <c r="E589" i="2" s="1"/>
  <c r="F589" i="2" s="1"/>
  <c r="C590" i="2" s="1"/>
  <c r="D590" i="2" l="1"/>
  <c r="E590" i="2" s="1"/>
  <c r="F590" i="2" s="1"/>
  <c r="C591" i="2" s="1"/>
  <c r="D591" i="2" l="1"/>
  <c r="E591" i="2" s="1"/>
  <c r="F591" i="2" s="1"/>
  <c r="C592" i="2" s="1"/>
  <c r="D592" i="2" l="1"/>
  <c r="E592" i="2" s="1"/>
  <c r="F592" i="2" s="1"/>
  <c r="C593" i="2"/>
  <c r="D593" i="2" l="1"/>
  <c r="E593" i="2" s="1"/>
  <c r="F593" i="2" s="1"/>
  <c r="C594" i="2" s="1"/>
  <c r="D594" i="2" l="1"/>
  <c r="E594" i="2" s="1"/>
  <c r="F594" i="2" s="1"/>
  <c r="C595" i="2"/>
  <c r="D595" i="2" l="1"/>
  <c r="E595" i="2" s="1"/>
  <c r="F595" i="2" s="1"/>
  <c r="C596" i="2" s="1"/>
  <c r="D596" i="2" l="1"/>
  <c r="E596" i="2" s="1"/>
  <c r="F596" i="2" s="1"/>
  <c r="C597" i="2"/>
  <c r="D597" i="2" l="1"/>
  <c r="E597" i="2" s="1"/>
  <c r="F597" i="2" s="1"/>
  <c r="C598" i="2" s="1"/>
  <c r="D598" i="2" l="1"/>
  <c r="E598" i="2" s="1"/>
  <c r="F598" i="2" s="1"/>
  <c r="C599" i="2"/>
  <c r="D599" i="2" l="1"/>
  <c r="E599" i="2" s="1"/>
  <c r="F599" i="2" s="1"/>
  <c r="C600" i="2" s="1"/>
  <c r="D600" i="2" l="1"/>
  <c r="E600" i="2" s="1"/>
  <c r="F600" i="2" s="1"/>
  <c r="C601" i="2"/>
  <c r="D601" i="2" l="1"/>
  <c r="E601" i="2" s="1"/>
  <c r="F601" i="2" s="1"/>
  <c r="C602" i="2" s="1"/>
  <c r="D602" i="2" l="1"/>
  <c r="E602" i="2" s="1"/>
  <c r="F602" i="2" s="1"/>
  <c r="C603" i="2"/>
  <c r="D603" i="2" l="1"/>
  <c r="E603" i="2" s="1"/>
  <c r="F603" i="2" s="1"/>
  <c r="C604" i="2" s="1"/>
  <c r="D604" i="2" l="1"/>
  <c r="E604" i="2" s="1"/>
  <c r="F604" i="2" s="1"/>
  <c r="C605" i="2"/>
  <c r="D605" i="2" l="1"/>
  <c r="E605" i="2" s="1"/>
  <c r="F605" i="2" s="1"/>
  <c r="C606" i="2" s="1"/>
  <c r="D606" i="2" l="1"/>
  <c r="E606" i="2" s="1"/>
  <c r="F606" i="2" s="1"/>
  <c r="C607" i="2"/>
  <c r="D607" i="2" l="1"/>
  <c r="E607" i="2" s="1"/>
  <c r="F607" i="2" s="1"/>
  <c r="C608" i="2" s="1"/>
  <c r="D608" i="2" l="1"/>
  <c r="E608" i="2" s="1"/>
  <c r="F608" i="2" s="1"/>
  <c r="C609" i="2"/>
  <c r="D609" i="2" l="1"/>
  <c r="E609" i="2" s="1"/>
  <c r="F609" i="2" s="1"/>
  <c r="C610" i="2" s="1"/>
  <c r="D610" i="2" l="1"/>
  <c r="E610" i="2" s="1"/>
  <c r="F610" i="2" s="1"/>
  <c r="C611" i="2"/>
  <c r="D611" i="2" l="1"/>
  <c r="E611" i="2" s="1"/>
  <c r="F611" i="2" s="1"/>
  <c r="C612" i="2" s="1"/>
  <c r="D612" i="2" l="1"/>
  <c r="E612" i="2" s="1"/>
  <c r="F612" i="2" s="1"/>
  <c r="C613" i="2"/>
  <c r="D613" i="2" l="1"/>
  <c r="E613" i="2" s="1"/>
  <c r="F613" i="2" s="1"/>
  <c r="C614" i="2" s="1"/>
  <c r="D614" i="2" l="1"/>
  <c r="E614" i="2" s="1"/>
  <c r="F614" i="2" s="1"/>
  <c r="C615" i="2"/>
  <c r="D615" i="2" l="1"/>
  <c r="E615" i="2" s="1"/>
  <c r="F615" i="2" s="1"/>
  <c r="C616" i="2" s="1"/>
  <c r="D616" i="2" l="1"/>
  <c r="E616" i="2" s="1"/>
  <c r="F616" i="2" s="1"/>
  <c r="C617" i="2"/>
  <c r="D617" i="2" l="1"/>
  <c r="E617" i="2" s="1"/>
  <c r="F617" i="2" s="1"/>
  <c r="C618" i="2" s="1"/>
  <c r="D618" i="2" l="1"/>
  <c r="E618" i="2" s="1"/>
  <c r="F618" i="2" s="1"/>
  <c r="C619" i="2" s="1"/>
  <c r="D619" i="2" l="1"/>
  <c r="E619" i="2" s="1"/>
  <c r="F619" i="2" s="1"/>
  <c r="C620" i="2" s="1"/>
  <c r="D620" i="2" l="1"/>
  <c r="E620" i="2" s="1"/>
  <c r="F620" i="2" s="1"/>
  <c r="C621" i="2"/>
  <c r="D621" i="2" l="1"/>
  <c r="E621" i="2" s="1"/>
  <c r="F621" i="2" s="1"/>
  <c r="C622" i="2"/>
  <c r="D622" i="2" l="1"/>
  <c r="E622" i="2" s="1"/>
  <c r="F622" i="2" s="1"/>
  <c r="C623" i="2" s="1"/>
  <c r="D623" i="2" l="1"/>
  <c r="E623" i="2" s="1"/>
  <c r="F623" i="2" s="1"/>
  <c r="C624" i="2"/>
  <c r="D624" i="2" l="1"/>
  <c r="E624" i="2" s="1"/>
  <c r="F624" i="2" s="1"/>
  <c r="C625" i="2"/>
  <c r="D625" i="2" l="1"/>
  <c r="E625" i="2" s="1"/>
  <c r="F625" i="2" s="1"/>
  <c r="C626" i="2"/>
  <c r="D626" i="2" l="1"/>
  <c r="E626" i="2" s="1"/>
  <c r="F626" i="2" s="1"/>
  <c r="C627" i="2"/>
  <c r="D627" i="2" l="1"/>
  <c r="E627" i="2" s="1"/>
  <c r="F627" i="2" s="1"/>
  <c r="C628" i="2"/>
  <c r="D628" i="2" l="1"/>
  <c r="E628" i="2" s="1"/>
  <c r="F628" i="2" s="1"/>
  <c r="C629" i="2"/>
  <c r="D629" i="2" l="1"/>
  <c r="E629" i="2" s="1"/>
  <c r="F629" i="2" s="1"/>
  <c r="C630" i="2"/>
  <c r="D630" i="2" l="1"/>
  <c r="E630" i="2" s="1"/>
  <c r="F630" i="2" s="1"/>
  <c r="C631" i="2"/>
  <c r="D631" i="2" l="1"/>
  <c r="E631" i="2" s="1"/>
  <c r="F631" i="2" s="1"/>
  <c r="C632" i="2" s="1"/>
  <c r="D632" i="2" l="1"/>
  <c r="E632" i="2" s="1"/>
  <c r="F632" i="2" s="1"/>
  <c r="C633" i="2"/>
  <c r="D633" i="2" l="1"/>
  <c r="E633" i="2" s="1"/>
  <c r="F633" i="2" s="1"/>
  <c r="C634" i="2"/>
  <c r="D634" i="2" l="1"/>
  <c r="E634" i="2" s="1"/>
  <c r="F634" i="2" s="1"/>
  <c r="C635" i="2"/>
  <c r="D635" i="2" l="1"/>
  <c r="E635" i="2" s="1"/>
  <c r="F635" i="2" s="1"/>
  <c r="C636" i="2" s="1"/>
  <c r="D636" i="2" l="1"/>
  <c r="E636" i="2" s="1"/>
  <c r="F636" i="2" s="1"/>
  <c r="C637" i="2"/>
  <c r="D637" i="2" l="1"/>
  <c r="E637" i="2" s="1"/>
  <c r="F637" i="2" s="1"/>
  <c r="C638" i="2"/>
  <c r="D638" i="2" l="1"/>
  <c r="E638" i="2" s="1"/>
  <c r="F638" i="2" s="1"/>
  <c r="C639" i="2" s="1"/>
  <c r="D639" i="2" l="1"/>
  <c r="E639" i="2" s="1"/>
  <c r="F639" i="2" s="1"/>
  <c r="C640" i="2"/>
  <c r="D640" i="2" l="1"/>
  <c r="E640" i="2" s="1"/>
  <c r="F640" i="2" s="1"/>
  <c r="C641" i="2"/>
  <c r="D641" i="2" l="1"/>
  <c r="E641" i="2" s="1"/>
  <c r="F641" i="2" s="1"/>
  <c r="C642" i="2"/>
  <c r="D642" i="2" l="1"/>
  <c r="E642" i="2" s="1"/>
  <c r="F642" i="2" s="1"/>
  <c r="C643" i="2"/>
  <c r="D643" i="2" l="1"/>
  <c r="E643" i="2" s="1"/>
  <c r="F643" i="2" s="1"/>
  <c r="C644" i="2"/>
  <c r="D644" i="2" l="1"/>
  <c r="E644" i="2" s="1"/>
  <c r="F644" i="2" s="1"/>
  <c r="C645" i="2"/>
  <c r="D645" i="2" l="1"/>
  <c r="E645" i="2" s="1"/>
  <c r="F645" i="2" s="1"/>
  <c r="C646" i="2"/>
  <c r="D646" i="2" l="1"/>
  <c r="E646" i="2" s="1"/>
  <c r="F646" i="2" s="1"/>
  <c r="C647" i="2"/>
  <c r="D647" i="2" l="1"/>
  <c r="E647" i="2" s="1"/>
  <c r="F647" i="2" s="1"/>
  <c r="C648" i="2" s="1"/>
  <c r="D648" i="2" l="1"/>
  <c r="E648" i="2" s="1"/>
  <c r="F648" i="2" s="1"/>
  <c r="C649" i="2"/>
  <c r="D649" i="2" l="1"/>
  <c r="E649" i="2" s="1"/>
  <c r="F649" i="2" s="1"/>
  <c r="C650" i="2"/>
  <c r="D650" i="2" l="1"/>
  <c r="E650" i="2" s="1"/>
  <c r="F650" i="2" s="1"/>
  <c r="C651" i="2"/>
  <c r="D651" i="2" l="1"/>
  <c r="E651" i="2" s="1"/>
  <c r="F651" i="2" s="1"/>
  <c r="C652" i="2" s="1"/>
  <c r="D652" i="2" l="1"/>
  <c r="E652" i="2" s="1"/>
  <c r="F652" i="2" s="1"/>
  <c r="C653" i="2"/>
  <c r="D653" i="2" l="1"/>
  <c r="E653" i="2" s="1"/>
  <c r="F653" i="2" s="1"/>
  <c r="C654" i="2"/>
  <c r="D654" i="2" l="1"/>
  <c r="E654" i="2" s="1"/>
  <c r="F654" i="2" s="1"/>
  <c r="C655" i="2"/>
  <c r="D655" i="2" l="1"/>
  <c r="E655" i="2" s="1"/>
  <c r="F655" i="2" s="1"/>
  <c r="C656" i="2"/>
  <c r="D656" i="2" l="1"/>
  <c r="E656" i="2" s="1"/>
  <c r="F656" i="2" s="1"/>
  <c r="C657" i="2"/>
  <c r="D657" i="2" l="1"/>
  <c r="E657" i="2" s="1"/>
  <c r="F657" i="2" s="1"/>
  <c r="C658" i="2"/>
  <c r="D658" i="2" l="1"/>
  <c r="E658" i="2" s="1"/>
  <c r="F658" i="2" s="1"/>
  <c r="C659" i="2"/>
  <c r="D659" i="2" l="1"/>
  <c r="E659" i="2" s="1"/>
  <c r="F659" i="2" s="1"/>
  <c r="C660" i="2"/>
  <c r="D660" i="2" l="1"/>
  <c r="E660" i="2" s="1"/>
  <c r="F660" i="2" s="1"/>
  <c r="C661" i="2"/>
  <c r="D661" i="2" l="1"/>
  <c r="E661" i="2" s="1"/>
  <c r="F661" i="2" s="1"/>
  <c r="C662" i="2"/>
  <c r="D662" i="2" l="1"/>
  <c r="E662" i="2" s="1"/>
  <c r="F662" i="2" s="1"/>
  <c r="C663" i="2"/>
  <c r="D663" i="2" l="1"/>
  <c r="E663" i="2" s="1"/>
  <c r="F663" i="2" s="1"/>
  <c r="C664" i="2" s="1"/>
  <c r="D664" i="2" l="1"/>
  <c r="E664" i="2" s="1"/>
  <c r="F664" i="2" s="1"/>
  <c r="C665" i="2"/>
  <c r="D665" i="2" l="1"/>
  <c r="E665" i="2" s="1"/>
  <c r="F665" i="2" s="1"/>
  <c r="C666" i="2"/>
  <c r="D666" i="2" l="1"/>
  <c r="E666" i="2" s="1"/>
  <c r="F666" i="2" s="1"/>
  <c r="C667" i="2"/>
  <c r="D667" i="2" l="1"/>
  <c r="E667" i="2" s="1"/>
  <c r="F667" i="2" s="1"/>
  <c r="C668" i="2" s="1"/>
  <c r="D668" i="2" l="1"/>
  <c r="E668" i="2" s="1"/>
  <c r="F668" i="2" s="1"/>
  <c r="C669" i="2"/>
  <c r="D669" i="2" l="1"/>
  <c r="E669" i="2" s="1"/>
  <c r="F669" i="2" s="1"/>
  <c r="C670" i="2"/>
  <c r="D670" i="2" l="1"/>
  <c r="E670" i="2" s="1"/>
  <c r="F670" i="2" s="1"/>
  <c r="C671" i="2"/>
  <c r="D671" i="2" l="1"/>
  <c r="E671" i="2" s="1"/>
  <c r="F671" i="2" s="1"/>
  <c r="C672" i="2"/>
  <c r="D672" i="2" l="1"/>
  <c r="E672" i="2" s="1"/>
  <c r="F672" i="2" s="1"/>
  <c r="C673" i="2"/>
  <c r="D673" i="2" l="1"/>
  <c r="E673" i="2" s="1"/>
  <c r="F673" i="2" s="1"/>
  <c r="C674" i="2"/>
  <c r="D674" i="2" l="1"/>
  <c r="E674" i="2" s="1"/>
  <c r="F674" i="2" s="1"/>
  <c r="C675" i="2" s="1"/>
  <c r="D675" i="2" l="1"/>
  <c r="E675" i="2" s="1"/>
  <c r="F675" i="2" s="1"/>
  <c r="C676" i="2"/>
  <c r="D676" i="2" l="1"/>
  <c r="E676" i="2" s="1"/>
  <c r="F676" i="2" s="1"/>
  <c r="C677" i="2"/>
  <c r="D677" i="2" l="1"/>
  <c r="E677" i="2" s="1"/>
  <c r="F677" i="2" s="1"/>
  <c r="C678" i="2" s="1"/>
  <c r="D678" i="2" l="1"/>
  <c r="E678" i="2" s="1"/>
  <c r="F678" i="2" s="1"/>
  <c r="C679" i="2" s="1"/>
  <c r="D679" i="2" l="1"/>
  <c r="E679" i="2" s="1"/>
  <c r="F679" i="2" s="1"/>
  <c r="C680" i="2"/>
  <c r="D680" i="2" l="1"/>
  <c r="E680" i="2" s="1"/>
  <c r="F680" i="2" s="1"/>
  <c r="C681" i="2"/>
  <c r="D681" i="2" l="1"/>
  <c r="E681" i="2" s="1"/>
  <c r="F681" i="2" s="1"/>
  <c r="C682" i="2" s="1"/>
  <c r="D682" i="2" l="1"/>
  <c r="E682" i="2" s="1"/>
  <c r="F682" i="2" s="1"/>
  <c r="C683" i="2"/>
  <c r="D683" i="2" l="1"/>
  <c r="E683" i="2" s="1"/>
  <c r="F683" i="2" s="1"/>
  <c r="C684" i="2"/>
  <c r="D684" i="2" l="1"/>
  <c r="E684" i="2" s="1"/>
  <c r="F684" i="2" s="1"/>
  <c r="C685" i="2"/>
  <c r="D685" i="2" l="1"/>
  <c r="E685" i="2" s="1"/>
  <c r="F685" i="2" s="1"/>
  <c r="C686" i="2"/>
  <c r="D686" i="2" l="1"/>
  <c r="E686" i="2" s="1"/>
  <c r="F686" i="2" s="1"/>
  <c r="C687" i="2"/>
  <c r="D687" i="2" l="1"/>
  <c r="E687" i="2" s="1"/>
  <c r="F687" i="2" s="1"/>
  <c r="C688" i="2"/>
  <c r="D688" i="2" l="1"/>
  <c r="E688" i="2" s="1"/>
  <c r="F688" i="2" s="1"/>
  <c r="C689" i="2"/>
  <c r="D689" i="2" l="1"/>
  <c r="E689" i="2" s="1"/>
  <c r="F689" i="2" s="1"/>
  <c r="C690" i="2"/>
  <c r="D690" i="2" l="1"/>
  <c r="E690" i="2" s="1"/>
  <c r="F690" i="2" s="1"/>
  <c r="C691" i="2"/>
  <c r="D691" i="2" l="1"/>
  <c r="E691" i="2" s="1"/>
  <c r="F691" i="2" s="1"/>
  <c r="C692" i="2"/>
  <c r="D692" i="2" l="1"/>
  <c r="E692" i="2" s="1"/>
  <c r="F692" i="2" s="1"/>
  <c r="C693" i="2"/>
  <c r="D693" i="2" l="1"/>
  <c r="E693" i="2" s="1"/>
  <c r="F693" i="2" s="1"/>
  <c r="C694" i="2"/>
  <c r="D694" i="2" l="1"/>
  <c r="E694" i="2" s="1"/>
  <c r="F694" i="2" s="1"/>
  <c r="C695" i="2"/>
  <c r="D695" i="2" l="1"/>
  <c r="E695" i="2" s="1"/>
  <c r="F695" i="2" s="1"/>
  <c r="C696" i="2"/>
  <c r="D696" i="2" l="1"/>
  <c r="E696" i="2" s="1"/>
  <c r="F696" i="2" s="1"/>
  <c r="C697" i="2"/>
  <c r="D697" i="2" l="1"/>
  <c r="E697" i="2" s="1"/>
  <c r="F697" i="2" s="1"/>
  <c r="C698" i="2"/>
  <c r="D698" i="2" l="1"/>
  <c r="E698" i="2" s="1"/>
  <c r="F698" i="2" s="1"/>
  <c r="C699" i="2"/>
  <c r="D699" i="2" l="1"/>
  <c r="E699" i="2" s="1"/>
  <c r="F699" i="2" s="1"/>
  <c r="C700" i="2"/>
  <c r="D700" i="2" l="1"/>
  <c r="E700" i="2" s="1"/>
  <c r="F700" i="2" s="1"/>
  <c r="C701" i="2"/>
  <c r="D701" i="2" l="1"/>
  <c r="E701" i="2" s="1"/>
  <c r="F701" i="2" s="1"/>
  <c r="C702" i="2"/>
  <c r="D702" i="2" l="1"/>
  <c r="E702" i="2" s="1"/>
  <c r="F702" i="2" s="1"/>
  <c r="C703" i="2"/>
  <c r="D703" i="2" l="1"/>
  <c r="E703" i="2" s="1"/>
  <c r="F703" i="2" s="1"/>
  <c r="C704" i="2"/>
  <c r="D704" i="2" l="1"/>
  <c r="E704" i="2" s="1"/>
  <c r="F704" i="2" s="1"/>
  <c r="C705" i="2"/>
  <c r="D705" i="2" l="1"/>
  <c r="E705" i="2" s="1"/>
  <c r="F705" i="2" s="1"/>
  <c r="C706" i="2"/>
  <c r="D706" i="2" l="1"/>
  <c r="E706" i="2" s="1"/>
  <c r="F706" i="2" s="1"/>
  <c r="C707" i="2"/>
  <c r="D707" i="2" l="1"/>
  <c r="E707" i="2" s="1"/>
  <c r="F707" i="2" s="1"/>
  <c r="C708" i="2"/>
  <c r="D708" i="2" l="1"/>
  <c r="E708" i="2" s="1"/>
  <c r="F708" i="2" s="1"/>
  <c r="C709" i="2"/>
  <c r="D709" i="2" l="1"/>
  <c r="E709" i="2" s="1"/>
  <c r="F709" i="2" s="1"/>
  <c r="C710" i="2"/>
  <c r="D710" i="2" l="1"/>
  <c r="E710" i="2" s="1"/>
  <c r="F710" i="2" s="1"/>
  <c r="C711" i="2"/>
  <c r="D711" i="2" l="1"/>
  <c r="E711" i="2" s="1"/>
  <c r="F711" i="2" s="1"/>
  <c r="C712" i="2"/>
  <c r="D712" i="2" l="1"/>
  <c r="E712" i="2" s="1"/>
  <c r="F712" i="2" s="1"/>
  <c r="C713" i="2"/>
  <c r="D713" i="2" l="1"/>
  <c r="E713" i="2" s="1"/>
  <c r="F713" i="2" s="1"/>
  <c r="C714" i="2"/>
  <c r="D714" i="2" l="1"/>
  <c r="E714" i="2" s="1"/>
  <c r="F714" i="2" s="1"/>
  <c r="C715" i="2"/>
  <c r="D715" i="2" l="1"/>
  <c r="E715" i="2" s="1"/>
  <c r="F715" i="2" s="1"/>
  <c r="C716" i="2"/>
  <c r="D716" i="2" l="1"/>
  <c r="E716" i="2" s="1"/>
  <c r="F716" i="2" s="1"/>
  <c r="C717" i="2"/>
  <c r="D717" i="2" l="1"/>
  <c r="E717" i="2" s="1"/>
  <c r="F717" i="2" s="1"/>
  <c r="C718" i="2"/>
  <c r="D718" i="2" l="1"/>
  <c r="E718" i="2" s="1"/>
  <c r="F718" i="2" s="1"/>
  <c r="C719" i="2"/>
  <c r="D719" i="2" l="1"/>
  <c r="E719" i="2" s="1"/>
  <c r="F719" i="2" s="1"/>
  <c r="C720" i="2" s="1"/>
  <c r="D720" i="2" l="1"/>
  <c r="E720" i="2" s="1"/>
  <c r="F720" i="2" s="1"/>
  <c r="C721" i="2"/>
  <c r="D721" i="2" l="1"/>
  <c r="E721" i="2" s="1"/>
  <c r="F721" i="2" s="1"/>
  <c r="C722" i="2" s="1"/>
  <c r="D722" i="2" l="1"/>
  <c r="E722" i="2" s="1"/>
  <c r="F722" i="2" s="1"/>
  <c r="C723" i="2"/>
  <c r="D723" i="2" l="1"/>
  <c r="E723" i="2" s="1"/>
  <c r="F723" i="2" s="1"/>
  <c r="C724" i="2"/>
  <c r="D724" i="2" l="1"/>
  <c r="E724" i="2" s="1"/>
  <c r="F724" i="2" s="1"/>
  <c r="C725" i="2"/>
  <c r="D725" i="2" l="1"/>
  <c r="E725" i="2" s="1"/>
  <c r="F725" i="2" s="1"/>
  <c r="C726" i="2"/>
  <c r="D726" i="2" l="1"/>
  <c r="E726" i="2" s="1"/>
  <c r="F726" i="2" s="1"/>
  <c r="C727" i="2"/>
  <c r="D727" i="2" l="1"/>
  <c r="E727" i="2" s="1"/>
  <c r="F727" i="2" s="1"/>
  <c r="C728" i="2"/>
  <c r="D728" i="2" l="1"/>
  <c r="E728" i="2" s="1"/>
  <c r="F728" i="2" s="1"/>
  <c r="C729" i="2" s="1"/>
  <c r="D729" i="2" l="1"/>
  <c r="E729" i="2" s="1"/>
  <c r="F729" i="2" s="1"/>
  <c r="C730" i="2"/>
  <c r="D730" i="2" l="1"/>
  <c r="E730" i="2" s="1"/>
  <c r="F730" i="2" s="1"/>
  <c r="C731" i="2" s="1"/>
  <c r="D731" i="2" l="1"/>
  <c r="E731" i="2" s="1"/>
  <c r="F731" i="2" s="1"/>
  <c r="C732" i="2"/>
  <c r="D732" i="2" l="1"/>
  <c r="E732" i="2" s="1"/>
  <c r="F732" i="2" s="1"/>
  <c r="C733" i="2"/>
  <c r="D733" i="2" l="1"/>
  <c r="E733" i="2" s="1"/>
  <c r="F733" i="2" s="1"/>
  <c r="C734" i="2"/>
  <c r="D734" i="2" l="1"/>
  <c r="E734" i="2" s="1"/>
  <c r="F734" i="2" s="1"/>
  <c r="C735" i="2"/>
  <c r="D735" i="2" l="1"/>
  <c r="E735" i="2" s="1"/>
  <c r="F735" i="2" s="1"/>
  <c r="C736" i="2"/>
  <c r="D736" i="2" l="1"/>
  <c r="E736" i="2" s="1"/>
  <c r="F736" i="2" s="1"/>
  <c r="C737" i="2"/>
  <c r="D737" i="2" l="1"/>
  <c r="E737" i="2" s="1"/>
  <c r="F737" i="2" s="1"/>
  <c r="C738" i="2"/>
  <c r="D738" i="2" l="1"/>
  <c r="E738" i="2" s="1"/>
  <c r="F738" i="2" s="1"/>
  <c r="C739" i="2"/>
  <c r="D739" i="2" l="1"/>
  <c r="E739" i="2" s="1"/>
  <c r="F739" i="2" s="1"/>
  <c r="C740" i="2"/>
  <c r="D740" i="2" l="1"/>
  <c r="E740" i="2" s="1"/>
  <c r="F740" i="2" s="1"/>
  <c r="C741" i="2"/>
  <c r="D741" i="2" l="1"/>
  <c r="E741" i="2" s="1"/>
  <c r="F741" i="2" s="1"/>
  <c r="C742" i="2"/>
  <c r="D742" i="2" l="1"/>
  <c r="E742" i="2" s="1"/>
  <c r="F742" i="2" s="1"/>
  <c r="C743" i="2"/>
  <c r="D743" i="2" l="1"/>
  <c r="E743" i="2" s="1"/>
  <c r="F743" i="2" s="1"/>
  <c r="C744" i="2"/>
  <c r="D744" i="2" l="1"/>
  <c r="E744" i="2" s="1"/>
  <c r="F744" i="2" s="1"/>
  <c r="C745" i="2"/>
  <c r="D745" i="2" l="1"/>
  <c r="E745" i="2" s="1"/>
  <c r="F745" i="2" s="1"/>
  <c r="C746" i="2"/>
  <c r="D746" i="2" l="1"/>
  <c r="E746" i="2" s="1"/>
  <c r="F746" i="2" s="1"/>
  <c r="C747" i="2"/>
  <c r="D747" i="2" l="1"/>
  <c r="E747" i="2" s="1"/>
  <c r="F747" i="2" s="1"/>
  <c r="C748" i="2"/>
  <c r="D748" i="2" l="1"/>
  <c r="E748" i="2" s="1"/>
  <c r="F748" i="2" s="1"/>
  <c r="C749" i="2"/>
  <c r="D749" i="2" l="1"/>
  <c r="E749" i="2" s="1"/>
  <c r="F749" i="2" s="1"/>
  <c r="C750" i="2"/>
  <c r="D750" i="2" l="1"/>
  <c r="E750" i="2" s="1"/>
  <c r="F750" i="2" s="1"/>
  <c r="C751" i="2"/>
  <c r="D751" i="2" l="1"/>
  <c r="E751" i="2" s="1"/>
  <c r="F751" i="2" s="1"/>
  <c r="C752" i="2"/>
  <c r="D752" i="2" l="1"/>
  <c r="E752" i="2" s="1"/>
  <c r="F752" i="2" s="1"/>
  <c r="C753" i="2"/>
  <c r="D753" i="2" l="1"/>
  <c r="E753" i="2" s="1"/>
  <c r="F753" i="2" s="1"/>
  <c r="C754" i="2"/>
  <c r="D754" i="2" l="1"/>
  <c r="E754" i="2" s="1"/>
  <c r="F754" i="2" s="1"/>
  <c r="C755" i="2"/>
  <c r="D755" i="2" l="1"/>
  <c r="E755" i="2" s="1"/>
  <c r="F755" i="2" s="1"/>
  <c r="C756" i="2"/>
  <c r="D756" i="2" l="1"/>
  <c r="E756" i="2" s="1"/>
  <c r="F756" i="2" s="1"/>
  <c r="C757" i="2"/>
  <c r="D757" i="2" l="1"/>
  <c r="E757" i="2" s="1"/>
  <c r="F757" i="2" s="1"/>
  <c r="C758" i="2" s="1"/>
  <c r="D758" i="2" l="1"/>
  <c r="E758" i="2" s="1"/>
  <c r="F758" i="2" s="1"/>
  <c r="C759" i="2"/>
  <c r="D759" i="2" l="1"/>
  <c r="E759" i="2" s="1"/>
  <c r="F759" i="2" s="1"/>
  <c r="C760" i="2"/>
  <c r="D760" i="2" l="1"/>
  <c r="E760" i="2" s="1"/>
  <c r="F760" i="2" s="1"/>
  <c r="C761" i="2"/>
  <c r="D761" i="2" l="1"/>
  <c r="E761" i="2" s="1"/>
  <c r="F761" i="2" s="1"/>
  <c r="C762" i="2"/>
  <c r="D762" i="2" l="1"/>
  <c r="E762" i="2" s="1"/>
  <c r="F762" i="2" s="1"/>
  <c r="C763" i="2" s="1"/>
  <c r="D763" i="2" l="1"/>
  <c r="E763" i="2" s="1"/>
  <c r="F763" i="2" s="1"/>
  <c r="C764" i="2"/>
  <c r="D764" i="2" l="1"/>
  <c r="E764" i="2" s="1"/>
  <c r="F764" i="2" s="1"/>
  <c r="C765" i="2"/>
  <c r="D765" i="2" l="1"/>
  <c r="E765" i="2" s="1"/>
  <c r="F765" i="2" s="1"/>
  <c r="C766" i="2"/>
  <c r="D766" i="2" l="1"/>
  <c r="E766" i="2" s="1"/>
  <c r="F766" i="2" s="1"/>
  <c r="C767" i="2"/>
  <c r="D767" i="2" l="1"/>
  <c r="E767" i="2" s="1"/>
  <c r="F767" i="2" s="1"/>
  <c r="C768" i="2"/>
  <c r="D768" i="2" l="1"/>
  <c r="E768" i="2" s="1"/>
  <c r="F768" i="2" s="1"/>
  <c r="C769" i="2"/>
  <c r="D769" i="2" l="1"/>
  <c r="E769" i="2" s="1"/>
  <c r="F769" i="2" s="1"/>
  <c r="C770" i="2"/>
  <c r="D770" i="2" l="1"/>
  <c r="E770" i="2" s="1"/>
  <c r="F770" i="2" s="1"/>
  <c r="C771" i="2"/>
  <c r="D771" i="2" l="1"/>
  <c r="E771" i="2" s="1"/>
  <c r="F771" i="2" s="1"/>
  <c r="C772" i="2"/>
  <c r="D772" i="2" l="1"/>
  <c r="E772" i="2" s="1"/>
  <c r="F772" i="2" s="1"/>
  <c r="C773" i="2"/>
  <c r="D773" i="2" l="1"/>
  <c r="E773" i="2" s="1"/>
  <c r="F773" i="2" s="1"/>
  <c r="C774" i="2" s="1"/>
  <c r="D774" i="2" l="1"/>
  <c r="E774" i="2" s="1"/>
  <c r="F774" i="2" s="1"/>
  <c r="C775" i="2" s="1"/>
  <c r="D775" i="2" l="1"/>
  <c r="E775" i="2" s="1"/>
  <c r="F775" i="2" s="1"/>
  <c r="C776" i="2"/>
  <c r="D776" i="2" l="1"/>
  <c r="E776" i="2" s="1"/>
  <c r="F776" i="2" s="1"/>
  <c r="C777" i="2"/>
  <c r="D777" i="2" l="1"/>
  <c r="E777" i="2" s="1"/>
  <c r="F777" i="2" s="1"/>
  <c r="C778" i="2"/>
  <c r="D778" i="2" l="1"/>
  <c r="E778" i="2" s="1"/>
  <c r="F778" i="2" s="1"/>
  <c r="C779" i="2"/>
  <c r="D779" i="2" l="1"/>
  <c r="E779" i="2" s="1"/>
  <c r="F779" i="2" s="1"/>
  <c r="C780" i="2"/>
  <c r="D780" i="2" l="1"/>
  <c r="E780" i="2" s="1"/>
  <c r="F780" i="2" s="1"/>
  <c r="C781" i="2"/>
  <c r="D781" i="2" l="1"/>
  <c r="E781" i="2" s="1"/>
  <c r="F781" i="2" s="1"/>
  <c r="C782" i="2"/>
  <c r="D782" i="2" l="1"/>
  <c r="E782" i="2" s="1"/>
  <c r="F782" i="2" s="1"/>
  <c r="C783" i="2"/>
  <c r="D783" i="2" l="1"/>
  <c r="E783" i="2" s="1"/>
  <c r="F783" i="2" s="1"/>
  <c r="C784" i="2" s="1"/>
  <c r="D784" i="2" l="1"/>
  <c r="E784" i="2" s="1"/>
  <c r="F784" i="2" s="1"/>
  <c r="C785" i="2"/>
  <c r="D785" i="2" l="1"/>
  <c r="E785" i="2" s="1"/>
  <c r="F785" i="2" s="1"/>
  <c r="C786" i="2"/>
  <c r="D786" i="2" l="1"/>
  <c r="E786" i="2" s="1"/>
  <c r="F786" i="2" s="1"/>
  <c r="C787" i="2"/>
  <c r="D787" i="2" l="1"/>
  <c r="E787" i="2" s="1"/>
  <c r="F787" i="2" s="1"/>
  <c r="C788" i="2"/>
  <c r="D788" i="2" l="1"/>
  <c r="E788" i="2" s="1"/>
  <c r="F788" i="2" s="1"/>
  <c r="C789" i="2"/>
  <c r="D789" i="2" l="1"/>
  <c r="E789" i="2" s="1"/>
  <c r="F789" i="2" s="1"/>
  <c r="C790" i="2"/>
  <c r="D790" i="2" l="1"/>
  <c r="E790" i="2" s="1"/>
  <c r="F790" i="2" s="1"/>
  <c r="C791" i="2"/>
  <c r="D791" i="2" l="1"/>
  <c r="E791" i="2" s="1"/>
  <c r="F791" i="2" s="1"/>
  <c r="C792" i="2"/>
  <c r="D792" i="2" l="1"/>
  <c r="E792" i="2" s="1"/>
  <c r="F792" i="2" s="1"/>
  <c r="C793" i="2"/>
  <c r="D793" i="2" l="1"/>
  <c r="E793" i="2" s="1"/>
  <c r="F793" i="2" s="1"/>
  <c r="C794" i="2"/>
  <c r="D794" i="2" l="1"/>
  <c r="E794" i="2" s="1"/>
  <c r="F794" i="2" s="1"/>
  <c r="C795" i="2"/>
  <c r="D795" i="2" l="1"/>
  <c r="E795" i="2" s="1"/>
  <c r="F795" i="2" s="1"/>
  <c r="C796" i="2"/>
  <c r="D796" i="2" l="1"/>
  <c r="E796" i="2" s="1"/>
  <c r="F796" i="2" s="1"/>
  <c r="C797" i="2"/>
  <c r="D797" i="2" l="1"/>
  <c r="E797" i="2" s="1"/>
  <c r="F797" i="2" s="1"/>
  <c r="C798" i="2"/>
  <c r="D798" i="2" l="1"/>
  <c r="E798" i="2" s="1"/>
  <c r="F798" i="2" s="1"/>
  <c r="C799" i="2" s="1"/>
  <c r="D799" i="2" l="1"/>
  <c r="E799" i="2" s="1"/>
  <c r="F799" i="2" s="1"/>
  <c r="C800" i="2"/>
  <c r="D800" i="2" l="1"/>
  <c r="E800" i="2" s="1"/>
  <c r="F800" i="2" s="1"/>
  <c r="C801" i="2"/>
  <c r="D801" i="2" l="1"/>
  <c r="E801" i="2" s="1"/>
  <c r="F801" i="2" s="1"/>
  <c r="C802" i="2" s="1"/>
  <c r="D802" i="2" l="1"/>
  <c r="E802" i="2" s="1"/>
  <c r="F802" i="2" s="1"/>
  <c r="C803" i="2"/>
  <c r="D803" i="2" l="1"/>
  <c r="E803" i="2" s="1"/>
  <c r="F803" i="2" s="1"/>
  <c r="C804" i="2"/>
  <c r="D804" i="2" l="1"/>
  <c r="E804" i="2" s="1"/>
  <c r="F804" i="2" s="1"/>
  <c r="C805" i="2"/>
  <c r="D805" i="2" l="1"/>
  <c r="E805" i="2" s="1"/>
  <c r="F805" i="2" s="1"/>
  <c r="C806" i="2" s="1"/>
  <c r="D806" i="2" l="1"/>
  <c r="E806" i="2" s="1"/>
  <c r="F806" i="2" s="1"/>
  <c r="C807" i="2"/>
  <c r="D807" i="2" l="1"/>
  <c r="E807" i="2" s="1"/>
  <c r="F807" i="2" s="1"/>
  <c r="C808" i="2"/>
  <c r="D808" i="2" l="1"/>
  <c r="E808" i="2" s="1"/>
  <c r="F808" i="2" s="1"/>
  <c r="C809" i="2"/>
  <c r="D809" i="2" l="1"/>
  <c r="E809" i="2" s="1"/>
  <c r="F809" i="2" s="1"/>
  <c r="C810" i="2"/>
  <c r="D810" i="2" l="1"/>
  <c r="E810" i="2" s="1"/>
  <c r="F810" i="2" s="1"/>
  <c r="C811" i="2"/>
  <c r="D811" i="2" l="1"/>
  <c r="E811" i="2" s="1"/>
  <c r="F811" i="2" s="1"/>
  <c r="C812" i="2" s="1"/>
  <c r="D812" i="2" l="1"/>
  <c r="E812" i="2" s="1"/>
  <c r="F812" i="2" s="1"/>
  <c r="C813" i="2"/>
  <c r="D813" i="2" l="1"/>
  <c r="E813" i="2" s="1"/>
  <c r="F813" i="2" s="1"/>
  <c r="C814" i="2" s="1"/>
  <c r="D814" i="2" l="1"/>
  <c r="E814" i="2" s="1"/>
  <c r="F814" i="2" s="1"/>
  <c r="C815" i="2"/>
  <c r="D815" i="2" l="1"/>
  <c r="E815" i="2" s="1"/>
  <c r="F815" i="2" s="1"/>
  <c r="C816" i="2"/>
  <c r="D816" i="2" l="1"/>
  <c r="E816" i="2" s="1"/>
  <c r="F816" i="2" s="1"/>
  <c r="C817" i="2"/>
  <c r="D817" i="2" l="1"/>
  <c r="E817" i="2" s="1"/>
  <c r="F817" i="2" s="1"/>
  <c r="C818" i="2"/>
  <c r="D818" i="2" l="1"/>
  <c r="E818" i="2" s="1"/>
  <c r="F818" i="2" s="1"/>
  <c r="C819" i="2" s="1"/>
  <c r="D819" i="2" l="1"/>
  <c r="E819" i="2" s="1"/>
  <c r="F819" i="2" s="1"/>
  <c r="C820" i="2"/>
  <c r="D820" i="2" l="1"/>
  <c r="E820" i="2" s="1"/>
  <c r="F820" i="2" s="1"/>
  <c r="C821" i="2"/>
  <c r="D821" i="2" l="1"/>
  <c r="E821" i="2" s="1"/>
  <c r="F821" i="2" s="1"/>
  <c r="C822" i="2"/>
  <c r="D822" i="2" l="1"/>
  <c r="E822" i="2" s="1"/>
  <c r="F822" i="2" s="1"/>
  <c r="C823" i="2"/>
  <c r="D823" i="2" l="1"/>
  <c r="E823" i="2" s="1"/>
  <c r="F823" i="2" s="1"/>
  <c r="C824" i="2"/>
  <c r="D824" i="2" l="1"/>
  <c r="E824" i="2" s="1"/>
  <c r="F824" i="2" s="1"/>
  <c r="C825" i="2" s="1"/>
  <c r="D825" i="2" l="1"/>
  <c r="E825" i="2" s="1"/>
  <c r="F825" i="2" s="1"/>
  <c r="C826" i="2"/>
  <c r="D826" i="2" l="1"/>
  <c r="E826" i="2" s="1"/>
  <c r="F826" i="2" s="1"/>
  <c r="C827" i="2"/>
  <c r="D827" i="2" l="1"/>
  <c r="E827" i="2" s="1"/>
  <c r="F827" i="2" s="1"/>
  <c r="C828" i="2"/>
  <c r="D828" i="2" l="1"/>
  <c r="E828" i="2" s="1"/>
  <c r="F828" i="2" s="1"/>
  <c r="C829" i="2"/>
  <c r="D829" i="2" l="1"/>
  <c r="E829" i="2" s="1"/>
  <c r="F829" i="2" s="1"/>
  <c r="C830" i="2"/>
  <c r="D830" i="2" l="1"/>
  <c r="E830" i="2" s="1"/>
  <c r="F830" i="2" s="1"/>
  <c r="C831" i="2"/>
  <c r="D831" i="2" l="1"/>
  <c r="E831" i="2" s="1"/>
  <c r="F831" i="2" s="1"/>
  <c r="C832" i="2"/>
  <c r="D832" i="2" l="1"/>
  <c r="E832" i="2" s="1"/>
  <c r="F832" i="2" s="1"/>
  <c r="C833" i="2"/>
  <c r="D833" i="2" l="1"/>
  <c r="E833" i="2" s="1"/>
  <c r="F833" i="2" s="1"/>
  <c r="C834" i="2"/>
  <c r="D834" i="2" l="1"/>
  <c r="E834" i="2" s="1"/>
  <c r="F834" i="2" s="1"/>
  <c r="C835" i="2"/>
  <c r="D835" i="2" l="1"/>
  <c r="E835" i="2" s="1"/>
  <c r="F835" i="2" s="1"/>
  <c r="C836" i="2"/>
  <c r="D836" i="2" l="1"/>
  <c r="E836" i="2" s="1"/>
  <c r="F836" i="2" s="1"/>
  <c r="C837" i="2"/>
  <c r="D837" i="2" l="1"/>
  <c r="E837" i="2" s="1"/>
  <c r="F837" i="2" s="1"/>
  <c r="C838" i="2"/>
  <c r="D838" i="2" l="1"/>
  <c r="E838" i="2" s="1"/>
  <c r="F838" i="2" s="1"/>
  <c r="C839" i="2"/>
  <c r="D839" i="2" l="1"/>
  <c r="E839" i="2" s="1"/>
  <c r="F839" i="2" s="1"/>
  <c r="C840" i="2" s="1"/>
  <c r="D840" i="2" l="1"/>
  <c r="E840" i="2" s="1"/>
  <c r="F840" i="2" s="1"/>
  <c r="C841" i="2"/>
  <c r="D841" i="2" l="1"/>
  <c r="E841" i="2" s="1"/>
  <c r="F841" i="2" s="1"/>
  <c r="C842" i="2"/>
  <c r="D842" i="2" l="1"/>
  <c r="E842" i="2" s="1"/>
  <c r="F842" i="2" s="1"/>
  <c r="C843" i="2"/>
  <c r="D843" i="2" l="1"/>
  <c r="E843" i="2" s="1"/>
  <c r="F843" i="2" s="1"/>
  <c r="C844" i="2"/>
  <c r="D844" i="2" l="1"/>
  <c r="E844" i="2" s="1"/>
  <c r="F844" i="2" s="1"/>
  <c r="C845" i="2"/>
  <c r="D845" i="2" l="1"/>
  <c r="E845" i="2" s="1"/>
  <c r="F845" i="2" s="1"/>
  <c r="C846" i="2"/>
  <c r="D846" i="2" l="1"/>
  <c r="E846" i="2" s="1"/>
  <c r="F846" i="2" s="1"/>
  <c r="C847" i="2"/>
  <c r="D847" i="2" l="1"/>
  <c r="E847" i="2" s="1"/>
  <c r="F847" i="2" s="1"/>
  <c r="C848" i="2"/>
  <c r="D848" i="2" l="1"/>
  <c r="E848" i="2" s="1"/>
  <c r="F848" i="2" s="1"/>
  <c r="C849" i="2"/>
  <c r="D849" i="2" l="1"/>
  <c r="E849" i="2" s="1"/>
  <c r="F849" i="2" s="1"/>
  <c r="C850" i="2"/>
  <c r="D850" i="2" l="1"/>
  <c r="E850" i="2" s="1"/>
  <c r="F850" i="2" s="1"/>
  <c r="C851" i="2" s="1"/>
  <c r="D851" i="2" l="1"/>
  <c r="E851" i="2" s="1"/>
  <c r="F851" i="2" s="1"/>
  <c r="C852" i="2"/>
  <c r="D852" i="2" l="1"/>
  <c r="E852" i="2" s="1"/>
  <c r="F852" i="2" s="1"/>
  <c r="C853" i="2"/>
  <c r="D853" i="2" l="1"/>
  <c r="E853" i="2" s="1"/>
  <c r="F853" i="2" s="1"/>
  <c r="C854" i="2"/>
  <c r="D854" i="2" l="1"/>
  <c r="E854" i="2" s="1"/>
  <c r="F854" i="2" s="1"/>
  <c r="C855" i="2" s="1"/>
  <c r="D855" i="2" l="1"/>
  <c r="E855" i="2" s="1"/>
  <c r="F855" i="2" s="1"/>
  <c r="C856" i="2"/>
  <c r="D856" i="2" l="1"/>
  <c r="E856" i="2" s="1"/>
  <c r="F856" i="2" s="1"/>
  <c r="C857" i="2"/>
  <c r="D857" i="2" l="1"/>
  <c r="E857" i="2" s="1"/>
  <c r="F857" i="2" s="1"/>
  <c r="C858" i="2" s="1"/>
  <c r="D858" i="2" l="1"/>
  <c r="E858" i="2" s="1"/>
  <c r="F858" i="2" s="1"/>
  <c r="C859" i="2"/>
  <c r="D859" i="2" l="1"/>
  <c r="E859" i="2" s="1"/>
  <c r="F859" i="2" s="1"/>
  <c r="C860" i="2"/>
  <c r="D860" i="2" l="1"/>
  <c r="E860" i="2" s="1"/>
  <c r="F860" i="2" s="1"/>
  <c r="C861" i="2"/>
  <c r="D861" i="2" l="1"/>
  <c r="E861" i="2" s="1"/>
  <c r="F861" i="2" s="1"/>
  <c r="C862" i="2"/>
  <c r="D862" i="2" l="1"/>
  <c r="E862" i="2" s="1"/>
  <c r="F862" i="2" s="1"/>
  <c r="C863" i="2"/>
  <c r="D863" i="2" l="1"/>
  <c r="E863" i="2" s="1"/>
  <c r="F863" i="2" s="1"/>
  <c r="C864" i="2" s="1"/>
  <c r="D864" i="2" l="1"/>
  <c r="E864" i="2" s="1"/>
  <c r="F864" i="2" s="1"/>
  <c r="C865" i="2"/>
  <c r="D865" i="2" l="1"/>
  <c r="E865" i="2" s="1"/>
  <c r="F865" i="2" s="1"/>
  <c r="C866" i="2"/>
  <c r="D866" i="2" l="1"/>
  <c r="E866" i="2" s="1"/>
  <c r="F866" i="2" s="1"/>
  <c r="C867" i="2"/>
  <c r="D867" i="2" l="1"/>
  <c r="E867" i="2" s="1"/>
  <c r="F867" i="2" s="1"/>
  <c r="C868" i="2"/>
  <c r="D868" i="2" l="1"/>
  <c r="E868" i="2" s="1"/>
  <c r="F868" i="2" s="1"/>
  <c r="C869" i="2"/>
  <c r="D869" i="2" l="1"/>
  <c r="E869" i="2" s="1"/>
  <c r="F869" i="2" s="1"/>
  <c r="C870" i="2"/>
  <c r="D870" i="2" l="1"/>
  <c r="E870" i="2" s="1"/>
  <c r="F870" i="2" s="1"/>
  <c r="C871" i="2"/>
  <c r="D871" i="2" l="1"/>
  <c r="E871" i="2" s="1"/>
  <c r="F871" i="2" s="1"/>
  <c r="C872" i="2"/>
  <c r="D872" i="2" l="1"/>
  <c r="E872" i="2" s="1"/>
  <c r="F872" i="2" s="1"/>
  <c r="C873" i="2"/>
  <c r="D873" i="2" l="1"/>
  <c r="E873" i="2" s="1"/>
  <c r="F873" i="2" s="1"/>
  <c r="C874" i="2"/>
  <c r="D874" i="2" l="1"/>
  <c r="E874" i="2" s="1"/>
  <c r="F874" i="2" s="1"/>
  <c r="C875" i="2"/>
  <c r="D875" i="2" l="1"/>
  <c r="E875" i="2" s="1"/>
  <c r="F875" i="2" s="1"/>
  <c r="C876" i="2" s="1"/>
  <c r="D876" i="2" l="1"/>
  <c r="E876" i="2" s="1"/>
  <c r="F876" i="2" s="1"/>
  <c r="C877" i="2"/>
  <c r="D877" i="2" l="1"/>
  <c r="E877" i="2" s="1"/>
  <c r="F877" i="2" s="1"/>
  <c r="C878" i="2"/>
  <c r="D878" i="2" l="1"/>
  <c r="E878" i="2" s="1"/>
  <c r="F878" i="2" s="1"/>
  <c r="C879" i="2"/>
  <c r="D879" i="2" l="1"/>
  <c r="E879" i="2" s="1"/>
  <c r="F879" i="2" s="1"/>
  <c r="C880" i="2"/>
  <c r="D880" i="2" l="1"/>
  <c r="E880" i="2" s="1"/>
  <c r="F880" i="2" s="1"/>
  <c r="C881" i="2"/>
  <c r="D881" i="2" l="1"/>
  <c r="E881" i="2" s="1"/>
  <c r="F881" i="2" s="1"/>
  <c r="C882" i="2"/>
  <c r="D882" i="2" l="1"/>
  <c r="E882" i="2" s="1"/>
  <c r="F882" i="2" s="1"/>
  <c r="C883" i="2"/>
  <c r="D883" i="2" l="1"/>
  <c r="E883" i="2" s="1"/>
  <c r="F883" i="2" s="1"/>
  <c r="C884" i="2"/>
  <c r="D884" i="2" l="1"/>
  <c r="E884" i="2" s="1"/>
  <c r="F884" i="2" s="1"/>
  <c r="C885" i="2"/>
  <c r="D885" i="2" l="1"/>
  <c r="E885" i="2" s="1"/>
  <c r="F885" i="2" s="1"/>
  <c r="C886" i="2"/>
  <c r="D886" i="2" l="1"/>
  <c r="E886" i="2" s="1"/>
  <c r="F886" i="2" s="1"/>
  <c r="C887" i="2"/>
  <c r="D887" i="2" l="1"/>
  <c r="E887" i="2" s="1"/>
  <c r="F887" i="2" s="1"/>
  <c r="C888" i="2"/>
  <c r="D888" i="2" l="1"/>
  <c r="E888" i="2" s="1"/>
  <c r="F888" i="2" s="1"/>
  <c r="C889" i="2"/>
  <c r="D889" i="2" l="1"/>
  <c r="E889" i="2" s="1"/>
  <c r="F889" i="2" s="1"/>
  <c r="C890" i="2"/>
  <c r="D890" i="2" l="1"/>
  <c r="E890" i="2" s="1"/>
  <c r="F890" i="2" s="1"/>
  <c r="C891" i="2"/>
  <c r="D891" i="2" l="1"/>
  <c r="E891" i="2" s="1"/>
  <c r="F891" i="2" s="1"/>
  <c r="C892" i="2" s="1"/>
  <c r="D892" i="2" l="1"/>
  <c r="E892" i="2" s="1"/>
  <c r="F892" i="2" s="1"/>
  <c r="C893" i="2" s="1"/>
  <c r="D893" i="2" l="1"/>
  <c r="E893" i="2" s="1"/>
  <c r="F893" i="2" s="1"/>
  <c r="C894" i="2" s="1"/>
  <c r="D894" i="2" l="1"/>
  <c r="E894" i="2" s="1"/>
  <c r="F894" i="2" s="1"/>
  <c r="C895" i="2"/>
  <c r="D895" i="2" l="1"/>
  <c r="E895" i="2" s="1"/>
  <c r="F895" i="2" s="1"/>
  <c r="C896" i="2"/>
  <c r="D896" i="2" l="1"/>
  <c r="E896" i="2" s="1"/>
  <c r="F896" i="2" s="1"/>
  <c r="C897" i="2"/>
  <c r="D897" i="2" l="1"/>
  <c r="E897" i="2" s="1"/>
  <c r="F897" i="2" s="1"/>
  <c r="C898" i="2"/>
  <c r="D898" i="2" l="1"/>
  <c r="E898" i="2" s="1"/>
  <c r="F898" i="2" s="1"/>
  <c r="C899" i="2"/>
  <c r="D899" i="2" l="1"/>
  <c r="E899" i="2" s="1"/>
  <c r="F899" i="2" s="1"/>
  <c r="C900" i="2"/>
  <c r="D900" i="2" l="1"/>
  <c r="E900" i="2" s="1"/>
  <c r="F900" i="2" s="1"/>
  <c r="C901" i="2"/>
  <c r="D901" i="2" l="1"/>
  <c r="E901" i="2" s="1"/>
  <c r="F901" i="2" s="1"/>
  <c r="C902" i="2"/>
  <c r="D902" i="2" l="1"/>
  <c r="E902" i="2" s="1"/>
  <c r="F902" i="2" s="1"/>
  <c r="C903" i="2" s="1"/>
  <c r="D903" i="2" l="1"/>
  <c r="E903" i="2" s="1"/>
  <c r="F903" i="2" s="1"/>
  <c r="C904" i="2" s="1"/>
  <c r="D904" i="2" l="1"/>
  <c r="E904" i="2" s="1"/>
  <c r="F904" i="2" s="1"/>
  <c r="C905" i="2"/>
  <c r="D905" i="2" l="1"/>
  <c r="E905" i="2" s="1"/>
  <c r="F905" i="2" s="1"/>
  <c r="C906" i="2"/>
  <c r="D906" i="2" l="1"/>
  <c r="E906" i="2" s="1"/>
  <c r="F906" i="2" s="1"/>
  <c r="C907" i="2"/>
  <c r="D907" i="2" l="1"/>
  <c r="E907" i="2" s="1"/>
  <c r="F907" i="2" s="1"/>
  <c r="C908" i="2"/>
  <c r="D908" i="2" l="1"/>
  <c r="E908" i="2" s="1"/>
  <c r="F908" i="2" s="1"/>
  <c r="C909" i="2"/>
  <c r="D909" i="2" l="1"/>
  <c r="E909" i="2" s="1"/>
  <c r="F909" i="2" s="1"/>
  <c r="C910" i="2"/>
  <c r="D910" i="2" l="1"/>
  <c r="E910" i="2" s="1"/>
  <c r="F910" i="2" s="1"/>
  <c r="C911" i="2" s="1"/>
  <c r="D911" i="2" l="1"/>
  <c r="E911" i="2" s="1"/>
  <c r="F911" i="2" s="1"/>
  <c r="C912" i="2"/>
  <c r="D912" i="2" l="1"/>
  <c r="E912" i="2" s="1"/>
  <c r="F912" i="2" s="1"/>
  <c r="C913" i="2"/>
  <c r="D913" i="2" l="1"/>
  <c r="E913" i="2" s="1"/>
  <c r="F913" i="2" s="1"/>
  <c r="C914" i="2"/>
  <c r="D914" i="2" l="1"/>
  <c r="E914" i="2" s="1"/>
  <c r="F914" i="2" s="1"/>
  <c r="C915" i="2"/>
  <c r="D915" i="2" l="1"/>
  <c r="E915" i="2" s="1"/>
  <c r="F915" i="2" s="1"/>
  <c r="C916" i="2"/>
  <c r="D916" i="2" l="1"/>
  <c r="E916" i="2" s="1"/>
  <c r="F916" i="2" s="1"/>
  <c r="C917" i="2"/>
  <c r="D917" i="2" l="1"/>
  <c r="E917" i="2" s="1"/>
  <c r="F917" i="2" s="1"/>
  <c r="C918" i="2"/>
  <c r="D918" i="2" l="1"/>
  <c r="E918" i="2" s="1"/>
  <c r="F918" i="2" s="1"/>
  <c r="C919" i="2"/>
  <c r="D919" i="2" l="1"/>
  <c r="E919" i="2" s="1"/>
  <c r="F919" i="2" s="1"/>
  <c r="C920" i="2"/>
  <c r="D920" i="2" l="1"/>
  <c r="E920" i="2" s="1"/>
  <c r="F920" i="2" s="1"/>
  <c r="C921" i="2"/>
  <c r="D921" i="2" l="1"/>
  <c r="E921" i="2" s="1"/>
  <c r="F921" i="2" s="1"/>
  <c r="C922" i="2"/>
  <c r="D922" i="2" l="1"/>
  <c r="E922" i="2" s="1"/>
  <c r="F922" i="2" s="1"/>
  <c r="C923" i="2" s="1"/>
  <c r="D923" i="2" l="1"/>
  <c r="E923" i="2" s="1"/>
  <c r="F923" i="2" s="1"/>
  <c r="C924" i="2"/>
  <c r="D924" i="2" l="1"/>
  <c r="E924" i="2" s="1"/>
  <c r="F924" i="2" s="1"/>
  <c r="C925" i="2"/>
  <c r="D925" i="2" l="1"/>
  <c r="E925" i="2" s="1"/>
  <c r="F925" i="2" s="1"/>
  <c r="C926" i="2"/>
  <c r="D926" i="2" l="1"/>
  <c r="E926" i="2" s="1"/>
  <c r="F926" i="2" s="1"/>
  <c r="C927" i="2"/>
  <c r="D927" i="2" l="1"/>
  <c r="E927" i="2" s="1"/>
  <c r="F927" i="2" s="1"/>
  <c r="C928" i="2"/>
  <c r="D928" i="2" l="1"/>
  <c r="E928" i="2" s="1"/>
  <c r="F928" i="2" s="1"/>
  <c r="C929" i="2"/>
  <c r="D929" i="2" l="1"/>
  <c r="E929" i="2" s="1"/>
  <c r="F929" i="2" s="1"/>
  <c r="C930" i="2"/>
  <c r="D930" i="2" l="1"/>
  <c r="E930" i="2" s="1"/>
  <c r="F930" i="2" s="1"/>
  <c r="C931" i="2"/>
  <c r="D931" i="2" l="1"/>
  <c r="E931" i="2" s="1"/>
  <c r="F931" i="2" s="1"/>
  <c r="C932" i="2"/>
  <c r="D932" i="2" l="1"/>
  <c r="E932" i="2" s="1"/>
  <c r="F932" i="2" s="1"/>
  <c r="C933" i="2"/>
  <c r="D933" i="2" l="1"/>
  <c r="E933" i="2" s="1"/>
  <c r="F933" i="2" s="1"/>
  <c r="C934" i="2"/>
  <c r="D934" i="2" l="1"/>
  <c r="E934" i="2" s="1"/>
  <c r="F934" i="2" s="1"/>
  <c r="C935" i="2"/>
  <c r="D935" i="2" l="1"/>
  <c r="E935" i="2" s="1"/>
  <c r="F935" i="2" s="1"/>
  <c r="C936" i="2"/>
  <c r="D936" i="2" l="1"/>
  <c r="E936" i="2" s="1"/>
  <c r="F936" i="2" s="1"/>
  <c r="C937" i="2"/>
  <c r="D937" i="2" l="1"/>
  <c r="E937" i="2" s="1"/>
  <c r="F937" i="2" s="1"/>
  <c r="C938" i="2"/>
  <c r="D938" i="2" l="1"/>
  <c r="E938" i="2" s="1"/>
  <c r="F938" i="2" s="1"/>
  <c r="C939" i="2"/>
  <c r="D939" i="2" l="1"/>
  <c r="E939" i="2" s="1"/>
  <c r="F939" i="2" s="1"/>
  <c r="C940" i="2"/>
  <c r="D940" i="2" l="1"/>
  <c r="E940" i="2" s="1"/>
  <c r="F940" i="2" s="1"/>
  <c r="C941" i="2"/>
  <c r="D941" i="2" l="1"/>
  <c r="E941" i="2" s="1"/>
  <c r="F941" i="2" s="1"/>
  <c r="C942" i="2"/>
  <c r="D942" i="2" l="1"/>
  <c r="E942" i="2" s="1"/>
  <c r="F942" i="2" s="1"/>
  <c r="C943" i="2"/>
  <c r="D943" i="2" l="1"/>
  <c r="E943" i="2" s="1"/>
  <c r="F943" i="2" s="1"/>
  <c r="C944" i="2"/>
  <c r="D944" i="2" l="1"/>
  <c r="E944" i="2" s="1"/>
  <c r="F944" i="2" s="1"/>
  <c r="C945" i="2"/>
  <c r="D945" i="2" l="1"/>
  <c r="E945" i="2" s="1"/>
  <c r="F945" i="2" s="1"/>
  <c r="C946" i="2"/>
  <c r="D946" i="2" l="1"/>
  <c r="E946" i="2" s="1"/>
  <c r="F946" i="2" s="1"/>
  <c r="C947" i="2"/>
  <c r="D947" i="2" l="1"/>
  <c r="E947" i="2" s="1"/>
  <c r="F947" i="2" s="1"/>
  <c r="C948" i="2"/>
  <c r="D948" i="2" l="1"/>
  <c r="E948" i="2" s="1"/>
  <c r="F948" i="2" s="1"/>
  <c r="C949" i="2"/>
  <c r="D949" i="2" l="1"/>
  <c r="E949" i="2" s="1"/>
  <c r="F949" i="2" s="1"/>
  <c r="C950" i="2"/>
  <c r="D950" i="2" l="1"/>
  <c r="E950" i="2" s="1"/>
  <c r="F950" i="2" s="1"/>
  <c r="C951" i="2"/>
  <c r="D951" i="2" l="1"/>
  <c r="E951" i="2" s="1"/>
  <c r="F951" i="2" s="1"/>
  <c r="C952" i="2"/>
  <c r="D952" i="2" l="1"/>
  <c r="E952" i="2" s="1"/>
  <c r="F952" i="2" s="1"/>
  <c r="C953" i="2"/>
  <c r="D953" i="2" l="1"/>
  <c r="E953" i="2" s="1"/>
  <c r="F953" i="2" s="1"/>
  <c r="C954" i="2"/>
  <c r="D954" i="2" l="1"/>
  <c r="E954" i="2" s="1"/>
  <c r="F954" i="2" s="1"/>
  <c r="C955" i="2"/>
  <c r="D955" i="2" l="1"/>
  <c r="E955" i="2" s="1"/>
  <c r="F955" i="2" s="1"/>
  <c r="C956" i="2"/>
  <c r="D956" i="2" l="1"/>
  <c r="E956" i="2" s="1"/>
  <c r="F956" i="2" s="1"/>
  <c r="C957" i="2"/>
  <c r="D957" i="2" l="1"/>
  <c r="E957" i="2" s="1"/>
  <c r="F957" i="2" s="1"/>
  <c r="C958" i="2"/>
  <c r="D958" i="2" l="1"/>
  <c r="E958" i="2" s="1"/>
  <c r="F958" i="2" s="1"/>
  <c r="C959" i="2"/>
  <c r="D959" i="2" l="1"/>
  <c r="E959" i="2" s="1"/>
  <c r="F959" i="2" s="1"/>
  <c r="C960" i="2"/>
  <c r="D960" i="2" l="1"/>
  <c r="E960" i="2" s="1"/>
  <c r="F960" i="2" s="1"/>
  <c r="C961" i="2"/>
  <c r="D961" i="2" l="1"/>
  <c r="E961" i="2" s="1"/>
  <c r="F961" i="2" s="1"/>
  <c r="C962" i="2"/>
  <c r="D962" i="2" l="1"/>
  <c r="E962" i="2" s="1"/>
  <c r="F962" i="2" s="1"/>
  <c r="C963" i="2"/>
  <c r="D963" i="2" l="1"/>
  <c r="E963" i="2" s="1"/>
  <c r="F963" i="2" s="1"/>
  <c r="C964" i="2" s="1"/>
  <c r="D964" i="2" l="1"/>
  <c r="E964" i="2" s="1"/>
  <c r="F964" i="2" s="1"/>
  <c r="C965" i="2"/>
  <c r="D965" i="2" l="1"/>
  <c r="E965" i="2" s="1"/>
  <c r="F965" i="2" s="1"/>
  <c r="C966" i="2" s="1"/>
  <c r="D966" i="2" l="1"/>
  <c r="E966" i="2" s="1"/>
  <c r="F966" i="2" s="1"/>
  <c r="C967" i="2"/>
  <c r="D967" i="2" l="1"/>
  <c r="E967" i="2" s="1"/>
  <c r="F967" i="2" s="1"/>
  <c r="C968" i="2" s="1"/>
  <c r="D968" i="2" l="1"/>
  <c r="E968" i="2" s="1"/>
  <c r="F968" i="2" s="1"/>
  <c r="C969" i="2" s="1"/>
  <c r="D969" i="2" l="1"/>
  <c r="E969" i="2" s="1"/>
  <c r="F969" i="2" s="1"/>
  <c r="C970" i="2" s="1"/>
  <c r="D970" i="2" l="1"/>
  <c r="E970" i="2" s="1"/>
  <c r="F970" i="2" s="1"/>
  <c r="C971" i="2"/>
  <c r="D971" i="2" l="1"/>
  <c r="E971" i="2" s="1"/>
  <c r="F971" i="2" s="1"/>
  <c r="C972" i="2"/>
  <c r="D972" i="2" l="1"/>
  <c r="E972" i="2" s="1"/>
  <c r="F972" i="2" s="1"/>
  <c r="C973" i="2" s="1"/>
  <c r="D973" i="2" l="1"/>
  <c r="E973" i="2" s="1"/>
  <c r="F973" i="2" s="1"/>
  <c r="C974" i="2" s="1"/>
  <c r="D974" i="2" l="1"/>
  <c r="E974" i="2" s="1"/>
  <c r="F974" i="2" s="1"/>
  <c r="C975" i="2"/>
  <c r="D975" i="2" l="1"/>
  <c r="E975" i="2" s="1"/>
  <c r="F975" i="2" s="1"/>
  <c r="C976" i="2"/>
  <c r="D976" i="2" l="1"/>
  <c r="E976" i="2" s="1"/>
  <c r="F976" i="2" s="1"/>
  <c r="C977" i="2" s="1"/>
  <c r="D977" i="2" l="1"/>
  <c r="E977" i="2" s="1"/>
  <c r="F977" i="2" s="1"/>
  <c r="C978" i="2" s="1"/>
  <c r="D978" i="2" l="1"/>
  <c r="E978" i="2" s="1"/>
  <c r="F978" i="2" s="1"/>
  <c r="C979" i="2"/>
  <c r="H15" i="2" l="1"/>
  <c r="D979" i="2"/>
  <c r="E979" i="2" l="1"/>
  <c r="I15" i="2"/>
  <c r="F979" i="2" l="1"/>
  <c r="J15" i="2"/>
  <c r="K15" i="2" l="1"/>
  <c r="C980" i="2"/>
  <c r="D980" i="2" l="1"/>
  <c r="E980" i="2" s="1"/>
  <c r="F980" i="2" s="1"/>
  <c r="C981" i="2"/>
  <c r="D981" i="2" l="1"/>
  <c r="E981" i="2" s="1"/>
  <c r="F981" i="2" s="1"/>
  <c r="C982" i="2"/>
  <c r="D982" i="2" l="1"/>
  <c r="E982" i="2" s="1"/>
  <c r="F982" i="2" s="1"/>
  <c r="C983" i="2" s="1"/>
  <c r="D983" i="2" l="1"/>
  <c r="E983" i="2" s="1"/>
  <c r="F983" i="2" s="1"/>
  <c r="C984" i="2"/>
  <c r="D984" i="2" l="1"/>
  <c r="E984" i="2" s="1"/>
  <c r="F984" i="2" s="1"/>
  <c r="C985" i="2"/>
  <c r="D985" i="2" l="1"/>
  <c r="E985" i="2" s="1"/>
  <c r="F985" i="2" s="1"/>
  <c r="C986" i="2"/>
  <c r="D986" i="2" l="1"/>
  <c r="E986" i="2" s="1"/>
  <c r="F986" i="2" s="1"/>
  <c r="C987" i="2"/>
  <c r="D987" i="2" l="1"/>
  <c r="E987" i="2" s="1"/>
  <c r="F987" i="2" s="1"/>
  <c r="C988" i="2"/>
  <c r="D988" i="2" l="1"/>
  <c r="E988" i="2" s="1"/>
  <c r="F988" i="2" s="1"/>
  <c r="C989" i="2" s="1"/>
  <c r="D989" i="2" l="1"/>
  <c r="E989" i="2" s="1"/>
  <c r="F989" i="2" s="1"/>
  <c r="C990" i="2"/>
  <c r="D990" i="2" s="1"/>
  <c r="E990" i="2" s="1"/>
  <c r="F990" i="2" s="1"/>
</calcChain>
</file>

<file path=xl/sharedStrings.xml><?xml version="1.0" encoding="utf-8"?>
<sst xmlns="http://schemas.openxmlformats.org/spreadsheetml/2006/main" count="655" uniqueCount="359">
  <si>
    <t>Capital inital</t>
  </si>
  <si>
    <t>Capital final</t>
  </si>
  <si>
    <t>APY emprunt</t>
  </si>
  <si>
    <t>Initial</t>
  </si>
  <si>
    <t>Loyer initial</t>
  </si>
  <si>
    <t>Revenu final</t>
  </si>
  <si>
    <t>Health factor</t>
  </si>
  <si>
    <t>Emprunt RMM</t>
  </si>
  <si>
    <t>ROI initial</t>
  </si>
  <si>
    <t>Cout levier</t>
  </si>
  <si>
    <t>Gain levier net</t>
  </si>
  <si>
    <t>Emprunt</t>
  </si>
  <si>
    <t>ROI final</t>
  </si>
  <si>
    <t>ROI final net</t>
  </si>
  <si>
    <t>ROI levier</t>
  </si>
  <si>
    <t>Depot</t>
  </si>
  <si>
    <t>Liquidity pool</t>
  </si>
  <si>
    <t>Token</t>
  </si>
  <si>
    <r>
      <rPr>
        <b/>
        <sz val="10"/>
        <color theme="1"/>
        <rFont val="Arial"/>
        <family val="2"/>
      </rPr>
      <t>Type</t>
    </r>
    <r>
      <rPr>
        <b/>
        <sz val="10"/>
        <color rgb="FFFF0000"/>
        <rFont val="Arial"/>
        <family val="2"/>
      </rPr>
      <t>*</t>
    </r>
  </si>
  <si>
    <t>Prix</t>
  </si>
  <si>
    <t>Nombre</t>
  </si>
  <si>
    <t>Loyer/token</t>
  </si>
  <si>
    <t>Total loyer</t>
  </si>
  <si>
    <t>Total capital</t>
  </si>
  <si>
    <t>APY</t>
  </si>
  <si>
    <t>%</t>
  </si>
  <si>
    <t>Interets est.</t>
  </si>
  <si>
    <t>Total cost est.</t>
  </si>
  <si>
    <t>APR</t>
  </si>
  <si>
    <t>Frais</t>
  </si>
  <si>
    <t>Total interets</t>
  </si>
  <si>
    <t>RT1</t>
  </si>
  <si>
    <t>xDai</t>
  </si>
  <si>
    <t>Variable</t>
  </si>
  <si>
    <t>USDT Hop pool</t>
  </si>
  <si>
    <t>RT2</t>
  </si>
  <si>
    <t>Seules les cases oranges sont a completer manuellement</t>
  </si>
  <si>
    <t>* "Emprunt RMM" designe un token achete grace a l'emprunt puis remis en collateral dans le RMM.</t>
  </si>
  <si>
    <t>* "Emprunt" designe un token achete grace a l'emprunt mais NON REMIS dans le RMM.</t>
  </si>
  <si>
    <t>Octobre 2022</t>
  </si>
  <si>
    <t>Novembre 2022</t>
  </si>
  <si>
    <t>Loyer M/S</t>
  </si>
  <si>
    <t>Revenu annuel</t>
  </si>
  <si>
    <t>Loyer mensuel</t>
  </si>
  <si>
    <t>Loyer Hebdo</t>
  </si>
  <si>
    <t>Octobre 2023</t>
  </si>
  <si>
    <t>Decembre 2022</t>
  </si>
  <si>
    <t>Janvier 2023</t>
  </si>
  <si>
    <t>Février 2023</t>
  </si>
  <si>
    <t>Mars 2023</t>
  </si>
  <si>
    <t>Avril 2023</t>
  </si>
  <si>
    <t>Mai 2023</t>
  </si>
  <si>
    <t>Juin 2023</t>
  </si>
  <si>
    <t>Juillet 2023</t>
  </si>
  <si>
    <t>Août 2023</t>
  </si>
  <si>
    <t>Septembre 2023</t>
  </si>
  <si>
    <t>Novembre 2023</t>
  </si>
  <si>
    <t>Décembre 2024</t>
  </si>
  <si>
    <t>Novembre 2024</t>
  </si>
  <si>
    <t>Octobre 2024</t>
  </si>
  <si>
    <t>Septembre 2024</t>
  </si>
  <si>
    <t>Août 2024</t>
  </si>
  <si>
    <t>Janvier 2024</t>
  </si>
  <si>
    <t>Février 2024</t>
  </si>
  <si>
    <t>Mars 2024</t>
  </si>
  <si>
    <t>Avril 2024</t>
  </si>
  <si>
    <t>Mai 2024</t>
  </si>
  <si>
    <t>Juin 2024</t>
  </si>
  <si>
    <t>Juillet 2024</t>
  </si>
  <si>
    <t>Ajout mensuel</t>
  </si>
  <si>
    <t>Janvier 2025</t>
  </si>
  <si>
    <t>Février 2025</t>
  </si>
  <si>
    <t>Mars 2025</t>
  </si>
  <si>
    <t>Avril 2025</t>
  </si>
  <si>
    <t>Mai 2025</t>
  </si>
  <si>
    <t>Juin 2025</t>
  </si>
  <si>
    <t>Juillet 2025</t>
  </si>
  <si>
    <t>Août 2025</t>
  </si>
  <si>
    <t>Septembre 2025</t>
  </si>
  <si>
    <t>Octobre 2025</t>
  </si>
  <si>
    <t>Novembre 2025</t>
  </si>
  <si>
    <t>Décembre 2025</t>
  </si>
  <si>
    <t>Janvier 2026</t>
  </si>
  <si>
    <t>Février 2026</t>
  </si>
  <si>
    <t>Mars 2026</t>
  </si>
  <si>
    <t>Avril 2026</t>
  </si>
  <si>
    <t>Mai 2026</t>
  </si>
  <si>
    <t>Juin 2026</t>
  </si>
  <si>
    <t>Juillet 2026</t>
  </si>
  <si>
    <t>Août 2026</t>
  </si>
  <si>
    <t>Septembre 2026</t>
  </si>
  <si>
    <t>Octobre 2026</t>
  </si>
  <si>
    <t>Novembre 2026</t>
  </si>
  <si>
    <t>Décembre 2026</t>
  </si>
  <si>
    <t>Janvier 2027</t>
  </si>
  <si>
    <t>Février 2027</t>
  </si>
  <si>
    <t>Mars 2027</t>
  </si>
  <si>
    <t>Avril 2027</t>
  </si>
  <si>
    <t>Mai 2027</t>
  </si>
  <si>
    <t>Juin 2027</t>
  </si>
  <si>
    <t>Juillet 2027</t>
  </si>
  <si>
    <t>Août 2027</t>
  </si>
  <si>
    <t>Septembre 2027</t>
  </si>
  <si>
    <t>Octobre 2027</t>
  </si>
  <si>
    <t>Novembre 2027</t>
  </si>
  <si>
    <t>Décembre 2027</t>
  </si>
  <si>
    <t>Janvier 2028</t>
  </si>
  <si>
    <t>Février 2028</t>
  </si>
  <si>
    <t>Mars 2028</t>
  </si>
  <si>
    <t>Avril 2028</t>
  </si>
  <si>
    <t>Mai 2028</t>
  </si>
  <si>
    <t>Juin 2028</t>
  </si>
  <si>
    <t>Juillet 2028</t>
  </si>
  <si>
    <t>Août 2028</t>
  </si>
  <si>
    <t>Septembre 2028</t>
  </si>
  <si>
    <t>Octobre 2028</t>
  </si>
  <si>
    <t>Novembre 2028</t>
  </si>
  <si>
    <t>Décembre 2028</t>
  </si>
  <si>
    <t>Janvier 2029</t>
  </si>
  <si>
    <t>Février 2029</t>
  </si>
  <si>
    <t>Mars 2029</t>
  </si>
  <si>
    <t>Avril 2029</t>
  </si>
  <si>
    <t>Mai 2029</t>
  </si>
  <si>
    <t>Juin 2029</t>
  </si>
  <si>
    <t>Juillet 2029</t>
  </si>
  <si>
    <t>Août 2029</t>
  </si>
  <si>
    <t>Septembre 2029</t>
  </si>
  <si>
    <t>Octobre 2029</t>
  </si>
  <si>
    <t>Novembre 2029</t>
  </si>
  <si>
    <t>Décembre 2029</t>
  </si>
  <si>
    <t>Janvier 2030</t>
  </si>
  <si>
    <t>Février 2030</t>
  </si>
  <si>
    <t>Mars 2030</t>
  </si>
  <si>
    <t>Avril 2030</t>
  </si>
  <si>
    <t>Mai 2030</t>
  </si>
  <si>
    <t>Juin 2030</t>
  </si>
  <si>
    <t>Juillet 2030</t>
  </si>
  <si>
    <t>Août 2030</t>
  </si>
  <si>
    <t>Septembre 2030</t>
  </si>
  <si>
    <t>Octobre 2030</t>
  </si>
  <si>
    <t>Novembre 2030</t>
  </si>
  <si>
    <t>Décembre 2030</t>
  </si>
  <si>
    <t>Janvier 2031</t>
  </si>
  <si>
    <t>Février 2031</t>
  </si>
  <si>
    <t>Mars 2031</t>
  </si>
  <si>
    <t>Avril 2031</t>
  </si>
  <si>
    <t>Mai 2031</t>
  </si>
  <si>
    <t>Juin 2031</t>
  </si>
  <si>
    <t>Juillet 2031</t>
  </si>
  <si>
    <t>Août 2031</t>
  </si>
  <si>
    <t>Septembre 2031</t>
  </si>
  <si>
    <t>Octobre 2031</t>
  </si>
  <si>
    <t>Novembre 2031</t>
  </si>
  <si>
    <t>Décembre 2031</t>
  </si>
  <si>
    <t>Janvier 2032</t>
  </si>
  <si>
    <t>Février 2032</t>
  </si>
  <si>
    <t>Mars 2032</t>
  </si>
  <si>
    <t>Avril 2032</t>
  </si>
  <si>
    <t>Mai 2032</t>
  </si>
  <si>
    <t>Juin 2032</t>
  </si>
  <si>
    <t>Juillet 2032</t>
  </si>
  <si>
    <t>Août 2032</t>
  </si>
  <si>
    <t>Septembre 2032</t>
  </si>
  <si>
    <t>Octobre 2032</t>
  </si>
  <si>
    <t>Novembre 2032</t>
  </si>
  <si>
    <t>Décembre 2032</t>
  </si>
  <si>
    <t>19000 Fenton St, Detroit, MI 48219</t>
  </si>
  <si>
    <t>7109-7111 Pilgrim St, Detroit, MI 48238</t>
  </si>
  <si>
    <t>5517-5519 Elmhurst St, Detroit, MI 48204</t>
  </si>
  <si>
    <t>10616 McKinney St, Detroit, MI 48224</t>
  </si>
  <si>
    <t>9169 Boleyn St, Detroit, MI, 48224</t>
  </si>
  <si>
    <t>8342 Schaefer Hwy, Detroit, MI 48228</t>
  </si>
  <si>
    <t>601 Milton St, Toledo, OH 43605</t>
  </si>
  <si>
    <t>2950-2952 Monterey St, Detroit, MI 48206</t>
  </si>
  <si>
    <t>12779 Strathmoor St, Detroit, MI 48227</t>
  </si>
  <si>
    <t>16767 Greenfield Rd, Detroit, MI 48235</t>
  </si>
  <si>
    <t>11750 Morang Ave, Detroit, MI 48224</t>
  </si>
  <si>
    <t>2626-2638 Wreford St, Detroit, MI 48208</t>
  </si>
  <si>
    <t>8366 Schaefer Hwy, Detroit, MI 48228</t>
  </si>
  <si>
    <t>13835 La Salle Blvd, Detroit, MI 48238</t>
  </si>
  <si>
    <t>RRM</t>
  </si>
  <si>
    <t>Yes</t>
  </si>
  <si>
    <t>Current price</t>
  </si>
  <si>
    <t>Rent</t>
  </si>
  <si>
    <t>% Revenu</t>
  </si>
  <si>
    <t>No</t>
  </si>
  <si>
    <t>10700 Whittier Ave, Detroit, MI 48224</t>
  </si>
  <si>
    <t>S 3510 Ewald Cir, Detroit, MI 48204</t>
  </si>
  <si>
    <t>8531 Intervale St, Detroit, MI 48238</t>
  </si>
  <si>
    <t>8060 Dreamsicle car en RRM</t>
  </si>
  <si>
    <t>2550 Greenway</t>
  </si>
  <si>
    <t>10974 Worden St, Detroit, MI 48224</t>
  </si>
  <si>
    <t>18980 Fenton St, Detroit, MI 48219</t>
  </si>
  <si>
    <t>3747 Scovel Pl, Detroit, MI 48208</t>
  </si>
  <si>
    <t>4342-4344 Cortland St, Detroit, MI 48204</t>
  </si>
  <si>
    <t>10040 Cadieux Rd, Detroit, MI 48224</t>
  </si>
  <si>
    <t>18668 St Louis St, Detroit, MI 48234</t>
  </si>
  <si>
    <t>1000 Florida Ave, Akron, OH 44314</t>
  </si>
  <si>
    <t>14329 Strathmoor St, Detroit, MI 48227</t>
  </si>
  <si>
    <t>19535 Fairport St, Detroit, MI 48205</t>
  </si>
  <si>
    <t>3432 Harding St, Detroit, MI, 48214</t>
  </si>
  <si>
    <t>11078 Longview St, Detroit, MI 48213</t>
  </si>
  <si>
    <t>16200 Fullerton Ave, Detroit, MI 48227</t>
  </si>
  <si>
    <t>2661-2663 Cortland St, Detroit, MI 48206</t>
  </si>
  <si>
    <t>14884 Ward Ave, Detroit, MI 48227</t>
  </si>
  <si>
    <t>128 E Weber St, Toledo, OH 43608</t>
  </si>
  <si>
    <t>Après 10 ans</t>
  </si>
  <si>
    <t>Après 1 ans</t>
  </si>
  <si>
    <t>Après 5 ans</t>
  </si>
  <si>
    <t>Après 20 ans</t>
  </si>
  <si>
    <t>12409 Whitehill St, Detroit, MI 48224</t>
  </si>
  <si>
    <t>Pas whitlisté ?</t>
  </si>
  <si>
    <t>Renta</t>
  </si>
  <si>
    <t>RMM %</t>
  </si>
  <si>
    <t>RRM Fond</t>
  </si>
  <si>
    <t>Taux emprunt</t>
  </si>
  <si>
    <t>Renta annuel RMM</t>
  </si>
  <si>
    <t>Renta final</t>
  </si>
  <si>
    <t>14622 Hubbell Ave, Detroit, MI 48227</t>
  </si>
  <si>
    <t>SOURCE OF RENT</t>
  </si>
  <si>
    <t>AVERAGE TOKEN QUANTIY</t>
  </si>
  <si>
    <t>AMOUNT PAID (USDC)</t>
  </si>
  <si>
    <t>19317 Gable</t>
  </si>
  <si>
    <t>1000 Florida</t>
  </si>
  <si>
    <t>6923 Greenview</t>
  </si>
  <si>
    <t>10974 Worden</t>
  </si>
  <si>
    <t>9169 Boleyn</t>
  </si>
  <si>
    <t>3432 Harding</t>
  </si>
  <si>
    <t>8342 Schaefer</t>
  </si>
  <si>
    <t>16200 Fullerton</t>
  </si>
  <si>
    <t>11653 Nottingham</t>
  </si>
  <si>
    <t>10700 Whittier</t>
  </si>
  <si>
    <t>14918 Joy</t>
  </si>
  <si>
    <t>1542 S Ridgeway</t>
  </si>
  <si>
    <t>11957 Olga</t>
  </si>
  <si>
    <t>893-895 W Philadelphia</t>
  </si>
  <si>
    <t>7109-7111 Pilgrim</t>
  </si>
  <si>
    <t>15379 Patton</t>
  </si>
  <si>
    <t>8531 Intervale</t>
  </si>
  <si>
    <t>13041 Hayes</t>
  </si>
  <si>
    <t>1204 E Manhattan</t>
  </si>
  <si>
    <t>8060 Dreamsicle Rmm</t>
  </si>
  <si>
    <t>2661-2663 Cortland</t>
  </si>
  <si>
    <t>20160 Conant</t>
  </si>
  <si>
    <t>5517-5519 Elmhurst</t>
  </si>
  <si>
    <t>2626-2638 Wreford</t>
  </si>
  <si>
    <t>11750 Morang</t>
  </si>
  <si>
    <t>13245 Monica</t>
  </si>
  <si>
    <t>10518 Woodland</t>
  </si>
  <si>
    <t>16767 Greenfield</t>
  </si>
  <si>
    <t>10030 Cadieux</t>
  </si>
  <si>
    <t>16007 Nelacrest</t>
  </si>
  <si>
    <t>4342-4344 Cortland</t>
  </si>
  <si>
    <t>13835 La Salle Rmm</t>
  </si>
  <si>
    <t>1610 E State Fair</t>
  </si>
  <si>
    <t>1630 E State Fair</t>
  </si>
  <si>
    <t>1630 E State Fair Rmm</t>
  </si>
  <si>
    <t>18980 Fenton</t>
  </si>
  <si>
    <t>18980 Fenton Rmm</t>
  </si>
  <si>
    <t>19000 Fenton</t>
  </si>
  <si>
    <t>19000 Fenton Rmm</t>
  </si>
  <si>
    <t>3310-3312 Sturtevant</t>
  </si>
  <si>
    <t>2911 Sturtevant</t>
  </si>
  <si>
    <t>14409 Linnhurst</t>
  </si>
  <si>
    <t>S 3510 Ewald Rmm</t>
  </si>
  <si>
    <t>S 9200 Harvard</t>
  </si>
  <si>
    <t>S 19391 Grandview</t>
  </si>
  <si>
    <t>S 11117 Worden</t>
  </si>
  <si>
    <t>S 9624 Abington</t>
  </si>
  <si>
    <t>S 1418 W Marquette</t>
  </si>
  <si>
    <t>14329 Strathmoor</t>
  </si>
  <si>
    <t>19535 Fairport</t>
  </si>
  <si>
    <t>8056 E Hollywood</t>
  </si>
  <si>
    <t>15240 Edmore</t>
  </si>
  <si>
    <t>14622 Hubbell</t>
  </si>
  <si>
    <t>8003 S Ingleside Rmm</t>
  </si>
  <si>
    <t>15894 Tacoma</t>
  </si>
  <si>
    <t>14511 Houston-Whittier</t>
  </si>
  <si>
    <t>19530 Hickory</t>
  </si>
  <si>
    <t>13430 Tacoma Rmm</t>
  </si>
  <si>
    <t>13445 Tacoma Rmm</t>
  </si>
  <si>
    <t>18527-18529 Kelly</t>
  </si>
  <si>
    <t>8809 Beckman</t>
  </si>
  <si>
    <t>12318 Imperial</t>
  </si>
  <si>
    <t>22512 W McNichols</t>
  </si>
  <si>
    <t>14881 Greenfield</t>
  </si>
  <si>
    <t>11830 Camden</t>
  </si>
  <si>
    <t>11701 Morang</t>
  </si>
  <si>
    <t>11845 Camden</t>
  </si>
  <si>
    <t>3588 Oakman</t>
  </si>
  <si>
    <t>10862 Marne</t>
  </si>
  <si>
    <t>305 Moss</t>
  </si>
  <si>
    <t>4239 Alter</t>
  </si>
  <si>
    <t>10059 Britain</t>
  </si>
  <si>
    <t>6582 Bewick</t>
  </si>
  <si>
    <t>9166 Devonshire</t>
  </si>
  <si>
    <t>5942 Audubon</t>
  </si>
  <si>
    <t>11300 Roxbury</t>
  </si>
  <si>
    <t>12409 Whitehill</t>
  </si>
  <si>
    <t>S 10703 McKinney</t>
  </si>
  <si>
    <t>9201 Longacre</t>
  </si>
  <si>
    <t>13628 Tacoma Rmm</t>
  </si>
  <si>
    <t>8744 Homer</t>
  </si>
  <si>
    <t>Dette RMM</t>
  </si>
  <si>
    <t>au 22/08/23</t>
  </si>
  <si>
    <t>Principal</t>
  </si>
  <si>
    <t>Remboursement  Mensuel</t>
  </si>
  <si>
    <t>Rendement</t>
  </si>
  <si>
    <t>Plus-moins value</t>
  </si>
  <si>
    <t>Rendement min</t>
  </si>
  <si>
    <t>Lendermarket</t>
  </si>
  <si>
    <t>Mintos</t>
  </si>
  <si>
    <t>Plateforme</t>
  </si>
  <si>
    <t>RealT</t>
  </si>
  <si>
    <t>Total P2P</t>
  </si>
  <si>
    <t>Debitum</t>
  </si>
  <si>
    <t>Last month</t>
  </si>
  <si>
    <t>Performance Annuelle</t>
  </si>
  <si>
    <t>Total</t>
  </si>
  <si>
    <t xml:space="preserve">Intérêts </t>
  </si>
  <si>
    <t>à fin</t>
  </si>
  <si>
    <t>https://www.humbledtrader.com</t>
  </si>
  <si>
    <t>Account Capital</t>
  </si>
  <si>
    <t>Max risk per trade</t>
  </si>
  <si>
    <t>Max risk per day</t>
  </si>
  <si>
    <t>Risk per share</t>
  </si>
  <si>
    <t>MAX shares to take</t>
  </si>
  <si>
    <t>1:1 PT</t>
  </si>
  <si>
    <t>1:2 PT</t>
  </si>
  <si>
    <t>1:3 PT</t>
  </si>
  <si>
    <t>Max losing trades per day</t>
  </si>
  <si>
    <t>Daily objectif</t>
  </si>
  <si>
    <t>Objectif</t>
  </si>
  <si>
    <t>Nb jours par mois</t>
  </si>
  <si>
    <t xml:space="preserve">Gains total </t>
  </si>
  <si>
    <t>Pourcentage gagnant</t>
  </si>
  <si>
    <t>Perte total</t>
  </si>
  <si>
    <t>Espérance gain par mois</t>
  </si>
  <si>
    <t>Daily target</t>
  </si>
  <si>
    <t>Account capital needed</t>
  </si>
  <si>
    <t>Lot size</t>
  </si>
  <si>
    <t>FTSE</t>
  </si>
  <si>
    <t>DAX</t>
  </si>
  <si>
    <t>DOW</t>
  </si>
  <si>
    <t>NASDAQ</t>
  </si>
  <si>
    <t>Revolut</t>
  </si>
  <si>
    <t>RMM</t>
  </si>
  <si>
    <t>Total Net</t>
  </si>
  <si>
    <t>Emprunt Revolut</t>
  </si>
  <si>
    <t>Grand Total Brut</t>
  </si>
  <si>
    <t>Emprunt Younited</t>
  </si>
  <si>
    <t>Investissement Lendermarket</t>
  </si>
  <si>
    <t>Noah</t>
  </si>
  <si>
    <t>Elie</t>
  </si>
  <si>
    <t>Moi</t>
  </si>
  <si>
    <t>Répartition</t>
  </si>
  <si>
    <t>Taux répartition</t>
  </si>
  <si>
    <t>Intérêts</t>
  </si>
  <si>
    <t>Robot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</si>
</sst>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&quot;€&quot;_-;\-* #,##0.00\ &quot;€&quot;_-;_-* &quot;-&quot;??\ &quot;€&quot;_-;_-@_-"/>
    <numFmt numFmtId="165" formatCode="_(&quot;$&quot;* #,##0.00_);_(&quot;$&quot;* \(#,##0.00\);_(&quot;$&quot;* &quot;-&quot;??_);_(@_)"/>
    <numFmt numFmtId="166" formatCode="[$$]#,##0.00"/>
    <numFmt numFmtId="167" formatCode="[$$-380A]\ #,##0.00"/>
    <numFmt numFmtId="168" formatCode="[$$]#,##0"/>
    <numFmt numFmtId="169" formatCode="#,##0.00\ &quot;€&quot;"/>
    <numFmt numFmtId="170" formatCode="_-* #,##0.00\ [$€-40C]_-;\-* #,##0.00\ [$€-40C]_-;_-* &quot;-&quot;??\ [$€-40C]_-;_-@_-"/>
    <numFmt numFmtId="171" formatCode="_-* #,##0\ &quot;€&quot;_-;\-* #,##0\ &quot;€&quot;_-;_-* &quot;-&quot;??\ &quot;€&quot;_-;_-@_-"/>
    <numFmt numFmtId="172" formatCode="_-* #,##0\ [$€-40C]_-;\-* #,##0\ [$€-40C]_-;_-* &quot;-&quot;??\ [$€-40C]_-;_-@_-"/>
    <numFmt numFmtId="173" formatCode="0.0%"/>
  </numFmts>
  <fonts count="3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CCCCCC"/>
      <name val="Inconsolata"/>
    </font>
    <font>
      <b/>
      <sz val="10"/>
      <color rgb="FFFF0000"/>
      <name val="Arial"/>
      <family val="2"/>
      <scheme val="minor"/>
    </font>
    <font>
      <b/>
      <sz val="10"/>
      <color rgb="FF38761D"/>
      <name val="Arial"/>
      <family val="2"/>
      <scheme val="minor"/>
    </font>
    <font>
      <sz val="10"/>
      <color rgb="FFCCCCCC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222222"/>
      <name val="Arial"/>
      <family val="2"/>
      <scheme val="minor"/>
    </font>
    <font>
      <sz val="10"/>
      <color theme="0"/>
      <name val="Arial"/>
      <family val="2"/>
      <scheme val="minor"/>
    </font>
    <font>
      <sz val="12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theme="5"/>
      <name val="Arial"/>
      <family val="2"/>
      <scheme val="minor"/>
    </font>
    <font>
      <b/>
      <sz val="10"/>
      <color theme="4"/>
      <name val="Arial"/>
      <family val="2"/>
      <scheme val="minor"/>
    </font>
    <font>
      <b/>
      <sz val="10"/>
      <color theme="6"/>
      <name val="Arial"/>
      <family val="2"/>
      <scheme val="minor"/>
    </font>
    <font>
      <b/>
      <sz val="10"/>
      <color rgb="FF7030A0"/>
      <name val="Arial"/>
      <family val="2"/>
      <scheme val="minor"/>
    </font>
    <font>
      <b/>
      <sz val="10"/>
      <color rgb="FFFF66FF"/>
      <name val="Arial"/>
      <family val="2"/>
      <scheme val="minor"/>
    </font>
    <font>
      <b/>
      <sz val="10"/>
      <color theme="9" tint="-0.249977111117893"/>
      <name val="Arial"/>
      <family val="2"/>
      <scheme val="minor"/>
    </font>
    <font>
      <sz val="10"/>
      <color theme="1"/>
      <name val="Calibri"/>
    </font>
    <font>
      <u/>
      <sz val="14"/>
      <color rgb="FF0000FF"/>
      <name val="Roboto"/>
    </font>
    <font>
      <sz val="10"/>
      <color theme="1"/>
      <name val="Arial"/>
      <scheme val="minor"/>
    </font>
    <font>
      <sz val="11"/>
      <color theme="1"/>
      <name val="Roboto"/>
    </font>
    <font>
      <b/>
      <sz val="11"/>
      <color theme="1"/>
      <name val="Roboto"/>
    </font>
    <font>
      <b/>
      <sz val="11"/>
      <color rgb="FFFF0000"/>
      <name val="Roboto"/>
    </font>
    <font>
      <sz val="11"/>
      <color rgb="FF6AA84F"/>
      <name val="Roboto"/>
    </font>
    <font>
      <b/>
      <sz val="11"/>
      <color theme="7"/>
      <name val="Roboto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theme="2" tint="-0.14999847407452621"/>
        <bgColor rgb="FFFCE5CD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rgb="FFD6D6D6"/>
      </bottom>
      <diagonal/>
    </border>
    <border>
      <left style="medium">
        <color rgb="FFE2E2E2"/>
      </left>
      <right/>
      <top style="medium">
        <color rgb="FFE2E2E2"/>
      </top>
      <bottom style="medium">
        <color rgb="FFD6D6D6"/>
      </bottom>
      <diagonal/>
    </border>
    <border>
      <left/>
      <right/>
      <top style="medium">
        <color rgb="FFE2E2E2"/>
      </top>
      <bottom style="medium">
        <color rgb="FFD6D6D6"/>
      </bottom>
      <diagonal/>
    </border>
    <border>
      <left/>
      <right style="medium">
        <color rgb="FFE2E2E2"/>
      </right>
      <top style="medium">
        <color rgb="FFE2E2E2"/>
      </top>
      <bottom style="medium">
        <color rgb="FFD6D6D6"/>
      </bottom>
      <diagonal/>
    </border>
    <border>
      <left style="medium">
        <color rgb="FFE2E2E2"/>
      </left>
      <right/>
      <top/>
      <bottom style="medium">
        <color rgb="FFD6D6D6"/>
      </bottom>
      <diagonal/>
    </border>
    <border>
      <left/>
      <right style="medium">
        <color rgb="FFE2E2E2"/>
      </right>
      <top/>
      <bottom style="medium">
        <color rgb="FFD6D6D6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81">
    <xf numFmtId="0" fontId="0" fillId="0" borderId="0" xfId="0"/>
    <xf numFmtId="0" fontId="5" fillId="2" borderId="1" xfId="0" applyFon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/>
    <xf numFmtId="0" fontId="5" fillId="2" borderId="2" xfId="0" applyFont="1" applyFill="1" applyBorder="1"/>
    <xf numFmtId="166" fontId="6" fillId="2" borderId="3" xfId="0" applyNumberFormat="1" applyFont="1" applyFill="1" applyBorder="1"/>
    <xf numFmtId="0" fontId="6" fillId="2" borderId="0" xfId="0" applyFont="1" applyFill="1"/>
    <xf numFmtId="0" fontId="5" fillId="3" borderId="1" xfId="0" applyFont="1" applyFill="1" applyBorder="1"/>
    <xf numFmtId="10" fontId="5" fillId="3" borderId="3" xfId="0" applyNumberFormat="1" applyFont="1" applyFill="1" applyBorder="1"/>
    <xf numFmtId="0" fontId="5" fillId="2" borderId="0" xfId="0" applyFont="1" applyFill="1"/>
    <xf numFmtId="0" fontId="7" fillId="2" borderId="0" xfId="0" applyFont="1" applyFill="1"/>
    <xf numFmtId="0" fontId="5" fillId="2" borderId="4" xfId="0" applyFont="1" applyFill="1" applyBorder="1"/>
    <xf numFmtId="166" fontId="6" fillId="2" borderId="5" xfId="0" applyNumberFormat="1" applyFont="1" applyFill="1" applyBorder="1"/>
    <xf numFmtId="0" fontId="6" fillId="2" borderId="5" xfId="0" applyFont="1" applyFill="1" applyBorder="1"/>
    <xf numFmtId="0" fontId="5" fillId="2" borderId="5" xfId="0" applyFont="1" applyFill="1" applyBorder="1"/>
    <xf numFmtId="166" fontId="6" fillId="2" borderId="6" xfId="0" applyNumberFormat="1" applyFont="1" applyFill="1" applyBorder="1"/>
    <xf numFmtId="10" fontId="6" fillId="2" borderId="0" xfId="0" applyNumberFormat="1" applyFont="1" applyFill="1"/>
    <xf numFmtId="4" fontId="5" fillId="2" borderId="6" xfId="0" applyNumberFormat="1" applyFont="1" applyFill="1" applyBorder="1"/>
    <xf numFmtId="10" fontId="6" fillId="2" borderId="5" xfId="0" applyNumberFormat="1" applyFont="1" applyFill="1" applyBorder="1"/>
    <xf numFmtId="166" fontId="8" fillId="2" borderId="6" xfId="0" applyNumberFormat="1" applyFont="1" applyFill="1" applyBorder="1"/>
    <xf numFmtId="166" fontId="9" fillId="2" borderId="6" xfId="0" applyNumberFormat="1" applyFont="1" applyFill="1" applyBorder="1"/>
    <xf numFmtId="0" fontId="10" fillId="2" borderId="0" xfId="0" applyFont="1" applyFill="1"/>
    <xf numFmtId="0" fontId="5" fillId="2" borderId="7" xfId="0" applyFont="1" applyFill="1" applyBorder="1"/>
    <xf numFmtId="10" fontId="6" fillId="2" borderId="8" xfId="0" applyNumberFormat="1" applyFont="1" applyFill="1" applyBorder="1"/>
    <xf numFmtId="0" fontId="6" fillId="2" borderId="8" xfId="0" applyFont="1" applyFill="1" applyBorder="1"/>
    <xf numFmtId="0" fontId="5" fillId="2" borderId="8" xfId="0" applyFont="1" applyFill="1" applyBorder="1"/>
    <xf numFmtId="10" fontId="9" fillId="2" borderId="9" xfId="0" applyNumberFormat="1" applyFont="1" applyFill="1" applyBorder="1"/>
    <xf numFmtId="0" fontId="5" fillId="4" borderId="0" xfId="0" applyFont="1" applyFill="1"/>
    <xf numFmtId="0" fontId="5" fillId="2" borderId="10" xfId="0" applyFont="1" applyFill="1" applyBorder="1"/>
    <xf numFmtId="0" fontId="5" fillId="3" borderId="10" xfId="0" applyFont="1" applyFill="1" applyBorder="1"/>
    <xf numFmtId="166" fontId="6" fillId="3" borderId="10" xfId="0" applyNumberFormat="1" applyFont="1" applyFill="1" applyBorder="1"/>
    <xf numFmtId="0" fontId="6" fillId="3" borderId="10" xfId="0" applyFont="1" applyFill="1" applyBorder="1"/>
    <xf numFmtId="166" fontId="6" fillId="2" borderId="10" xfId="0" applyNumberFormat="1" applyFont="1" applyFill="1" applyBorder="1"/>
    <xf numFmtId="10" fontId="6" fillId="2" borderId="10" xfId="0" applyNumberFormat="1" applyFont="1" applyFill="1" applyBorder="1"/>
    <xf numFmtId="10" fontId="6" fillId="3" borderId="10" xfId="0" applyNumberFormat="1" applyFont="1" applyFill="1" applyBorder="1"/>
    <xf numFmtId="0" fontId="6" fillId="2" borderId="10" xfId="0" applyFont="1" applyFill="1" applyBorder="1"/>
    <xf numFmtId="166" fontId="5" fillId="2" borderId="10" xfId="0" applyNumberFormat="1" applyFont="1" applyFill="1" applyBorder="1"/>
    <xf numFmtId="0" fontId="11" fillId="2" borderId="0" xfId="0" applyFont="1" applyFill="1"/>
    <xf numFmtId="0" fontId="12" fillId="2" borderId="0" xfId="0" applyFont="1" applyFill="1"/>
    <xf numFmtId="0" fontId="5" fillId="2" borderId="12" xfId="0" applyFont="1" applyFill="1" applyBorder="1"/>
    <xf numFmtId="167" fontId="6" fillId="2" borderId="13" xfId="0" applyNumberFormat="1" applyFont="1" applyFill="1" applyBorder="1"/>
    <xf numFmtId="167" fontId="6" fillId="2" borderId="14" xfId="0" applyNumberFormat="1" applyFont="1" applyFill="1" applyBorder="1"/>
    <xf numFmtId="166" fontId="6" fillId="5" borderId="10" xfId="0" applyNumberFormat="1" applyFont="1" applyFill="1" applyBorder="1"/>
    <xf numFmtId="165" fontId="0" fillId="0" borderId="0" xfId="1" applyFont="1" applyAlignment="1"/>
    <xf numFmtId="165" fontId="0" fillId="0" borderId="0" xfId="0" applyNumberFormat="1"/>
    <xf numFmtId="0" fontId="0" fillId="0" borderId="11" xfId="0" applyBorder="1"/>
    <xf numFmtId="0" fontId="17" fillId="0" borderId="0" xfId="0" applyFont="1"/>
    <xf numFmtId="0" fontId="0" fillId="0" borderId="19" xfId="0" applyBorder="1"/>
    <xf numFmtId="0" fontId="0" fillId="0" borderId="22" xfId="0" applyBorder="1"/>
    <xf numFmtId="165" fontId="0" fillId="0" borderId="21" xfId="1" applyFont="1" applyBorder="1" applyAlignment="1"/>
    <xf numFmtId="165" fontId="0" fillId="0" borderId="21" xfId="0" applyNumberFormat="1" applyBorder="1"/>
    <xf numFmtId="9" fontId="0" fillId="0" borderId="0" xfId="0" applyNumberFormat="1"/>
    <xf numFmtId="0" fontId="18" fillId="0" borderId="0" xfId="0" applyFont="1"/>
    <xf numFmtId="0" fontId="18" fillId="0" borderId="0" xfId="0" applyFont="1" applyAlignment="1">
      <alignment vertical="center" wrapText="1"/>
    </xf>
    <xf numFmtId="10" fontId="0" fillId="0" borderId="0" xfId="2" applyNumberFormat="1" applyFont="1" applyAlignment="1"/>
    <xf numFmtId="0" fontId="18" fillId="6" borderId="0" xfId="0" applyFont="1" applyFill="1" applyAlignment="1">
      <alignment vertical="center" wrapText="1"/>
    </xf>
    <xf numFmtId="0" fontId="18" fillId="7" borderId="0" xfId="0" applyFont="1" applyFill="1" applyAlignment="1">
      <alignment vertical="center" wrapText="1"/>
    </xf>
    <xf numFmtId="165" fontId="0" fillId="0" borderId="25" xfId="0" applyNumberFormat="1" applyBorder="1"/>
    <xf numFmtId="165" fontId="0" fillId="0" borderId="18" xfId="0" applyNumberFormat="1" applyBorder="1"/>
    <xf numFmtId="165" fontId="0" fillId="0" borderId="26" xfId="0" applyNumberFormat="1" applyBorder="1"/>
    <xf numFmtId="0" fontId="18" fillId="8" borderId="0" xfId="0" applyFont="1" applyFill="1" applyAlignment="1">
      <alignment vertical="center" wrapText="1"/>
    </xf>
    <xf numFmtId="165" fontId="0" fillId="9" borderId="24" xfId="1" applyFont="1" applyFill="1" applyBorder="1" applyAlignment="1"/>
    <xf numFmtId="0" fontId="0" fillId="9" borderId="27" xfId="0" applyFill="1" applyBorder="1"/>
    <xf numFmtId="165" fontId="0" fillId="0" borderId="18" xfId="1" applyFont="1" applyBorder="1" applyAlignment="1"/>
    <xf numFmtId="10" fontId="0" fillId="0" borderId="26" xfId="2" applyNumberFormat="1" applyFont="1" applyBorder="1" applyAlignment="1"/>
    <xf numFmtId="0" fontId="19" fillId="10" borderId="28" xfId="0" applyFont="1" applyFill="1" applyBorder="1"/>
    <xf numFmtId="0" fontId="19" fillId="10" borderId="29" xfId="0" applyFont="1" applyFill="1" applyBorder="1"/>
    <xf numFmtId="0" fontId="19" fillId="10" borderId="30" xfId="0" applyFont="1" applyFill="1" applyBorder="1"/>
    <xf numFmtId="9" fontId="0" fillId="9" borderId="27" xfId="2" applyFont="1" applyFill="1" applyBorder="1" applyAlignment="1"/>
    <xf numFmtId="0" fontId="19" fillId="10" borderId="31" xfId="0" applyFont="1" applyFill="1" applyBorder="1"/>
    <xf numFmtId="0" fontId="19" fillId="10" borderId="32" xfId="0" applyFont="1" applyFill="1" applyBorder="1"/>
    <xf numFmtId="0" fontId="19" fillId="10" borderId="27" xfId="0" applyFont="1" applyFill="1" applyBorder="1"/>
    <xf numFmtId="9" fontId="0" fillId="9" borderId="24" xfId="0" applyNumberFormat="1" applyFill="1" applyBorder="1"/>
    <xf numFmtId="165" fontId="0" fillId="0" borderId="28" xfId="1" applyFont="1" applyBorder="1" applyAlignment="1"/>
    <xf numFmtId="165" fontId="0" fillId="0" borderId="29" xfId="0" applyNumberFormat="1" applyBorder="1"/>
    <xf numFmtId="165" fontId="0" fillId="0" borderId="30" xfId="0" applyNumberFormat="1" applyBorder="1"/>
    <xf numFmtId="0" fontId="20" fillId="11" borderId="33" xfId="0" applyFont="1" applyFill="1" applyBorder="1" applyAlignment="1">
      <alignment horizontal="center" vertical="top" wrapText="1"/>
    </xf>
    <xf numFmtId="0" fontId="21" fillId="11" borderId="37" xfId="3" applyFill="1" applyBorder="1" applyAlignment="1">
      <alignment vertical="top" wrapText="1"/>
    </xf>
    <xf numFmtId="0" fontId="20" fillId="11" borderId="38" xfId="0" applyFont="1" applyFill="1" applyBorder="1" applyAlignment="1">
      <alignment horizontal="right" vertical="top" wrapText="1"/>
    </xf>
    <xf numFmtId="0" fontId="21" fillId="11" borderId="39" xfId="3" applyFill="1" applyBorder="1" applyAlignment="1">
      <alignment vertical="top" wrapText="1"/>
    </xf>
    <xf numFmtId="0" fontId="20" fillId="11" borderId="40" xfId="0" applyFont="1" applyFill="1" applyBorder="1" applyAlignment="1">
      <alignment horizontal="center" vertical="top" wrapText="1"/>
    </xf>
    <xf numFmtId="0" fontId="20" fillId="11" borderId="41" xfId="0" applyFont="1" applyFill="1" applyBorder="1" applyAlignment="1">
      <alignment horizontal="right" vertical="top" wrapText="1"/>
    </xf>
    <xf numFmtId="0" fontId="16" fillId="0" borderId="24" xfId="0" applyFont="1" applyBorder="1"/>
    <xf numFmtId="0" fontId="16" fillId="11" borderId="34" xfId="0" applyFont="1" applyFill="1" applyBorder="1" applyAlignment="1">
      <alignment horizontal="left" vertical="top" wrapText="1"/>
    </xf>
    <xf numFmtId="0" fontId="16" fillId="11" borderId="35" xfId="0" applyFont="1" applyFill="1" applyBorder="1" applyAlignment="1">
      <alignment horizontal="center" vertical="top" wrapText="1"/>
    </xf>
    <xf numFmtId="0" fontId="16" fillId="11" borderId="36" xfId="0" applyFont="1" applyFill="1" applyBorder="1" applyAlignment="1">
      <alignment horizontal="right" vertical="top" wrapText="1"/>
    </xf>
    <xf numFmtId="0" fontId="16" fillId="6" borderId="0" xfId="0" applyFont="1" applyFill="1"/>
    <xf numFmtId="0" fontId="0" fillId="6" borderId="0" xfId="0" applyFill="1"/>
    <xf numFmtId="0" fontId="19" fillId="10" borderId="0" xfId="0" applyFont="1" applyFill="1"/>
    <xf numFmtId="0" fontId="0" fillId="0" borderId="30" xfId="0" applyBorder="1"/>
    <xf numFmtId="0" fontId="0" fillId="0" borderId="24" xfId="0" applyBorder="1"/>
    <xf numFmtId="2" fontId="0" fillId="0" borderId="0" xfId="0" applyNumberFormat="1"/>
    <xf numFmtId="0" fontId="16" fillId="0" borderId="28" xfId="0" applyFont="1" applyBorder="1"/>
    <xf numFmtId="0" fontId="16" fillId="0" borderId="29" xfId="0" applyFont="1" applyBorder="1"/>
    <xf numFmtId="10" fontId="16" fillId="0" borderId="29" xfId="2" applyNumberFormat="1" applyFont="1" applyBorder="1" applyAlignment="1"/>
    <xf numFmtId="2" fontId="17" fillId="0" borderId="0" xfId="0" applyNumberFormat="1" applyFont="1"/>
    <xf numFmtId="10" fontId="16" fillId="0" borderId="42" xfId="2" applyNumberFormat="1" applyFont="1" applyBorder="1" applyAlignment="1"/>
    <xf numFmtId="10" fontId="0" fillId="0" borderId="0" xfId="0" applyNumberFormat="1"/>
    <xf numFmtId="10" fontId="16" fillId="0" borderId="29" xfId="0" applyNumberFormat="1" applyFont="1" applyBorder="1"/>
    <xf numFmtId="0" fontId="0" fillId="12" borderId="0" xfId="0" applyFill="1"/>
    <xf numFmtId="2" fontId="0" fillId="12" borderId="0" xfId="0" applyNumberFormat="1" applyFill="1"/>
    <xf numFmtId="10" fontId="0" fillId="12" borderId="0" xfId="2" applyNumberFormat="1" applyFont="1" applyFill="1" applyBorder="1" applyAlignment="1"/>
    <xf numFmtId="10" fontId="0" fillId="12" borderId="0" xfId="2" applyNumberFormat="1" applyFont="1" applyFill="1" applyAlignme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3" fillId="0" borderId="0" xfId="0" applyFont="1"/>
    <xf numFmtId="0" fontId="22" fillId="0" borderId="0" xfId="0" applyFont="1"/>
    <xf numFmtId="10" fontId="0" fillId="9" borderId="24" xfId="2" applyNumberFormat="1" applyFont="1" applyFill="1" applyBorder="1" applyAlignment="1"/>
    <xf numFmtId="0" fontId="27" fillId="0" borderId="0" xfId="0" applyFont="1"/>
    <xf numFmtId="0" fontId="19" fillId="13" borderId="0" xfId="0" applyFont="1" applyFill="1" applyAlignment="1">
      <alignment vertical="top"/>
    </xf>
    <xf numFmtId="0" fontId="19" fillId="13" borderId="0" xfId="0" applyFont="1" applyFill="1" applyAlignment="1">
      <alignment vertical="top" wrapText="1"/>
    </xf>
    <xf numFmtId="17" fontId="19" fillId="13" borderId="0" xfId="0" applyNumberFormat="1" applyFont="1" applyFill="1" applyAlignment="1">
      <alignment vertical="top" wrapText="1"/>
    </xf>
    <xf numFmtId="0" fontId="28" fillId="0" borderId="0" xfId="0" applyFont="1"/>
    <xf numFmtId="0" fontId="29" fillId="0" borderId="0" xfId="0" applyFont="1"/>
    <xf numFmtId="0" fontId="31" fillId="0" borderId="0" xfId="0" applyFont="1"/>
    <xf numFmtId="0" fontId="32" fillId="0" borderId="0" xfId="0" applyFont="1"/>
    <xf numFmtId="9" fontId="29" fillId="0" borderId="0" xfId="0" applyNumberFormat="1" applyFont="1"/>
    <xf numFmtId="0" fontId="29" fillId="0" borderId="5" xfId="0" applyFont="1" applyBorder="1"/>
    <xf numFmtId="4" fontId="29" fillId="0" borderId="5" xfId="0" applyNumberFormat="1" applyFont="1" applyBorder="1"/>
    <xf numFmtId="0" fontId="33" fillId="0" borderId="43" xfId="0" applyFont="1" applyBorder="1"/>
    <xf numFmtId="0" fontId="29" fillId="0" borderId="44" xfId="0" applyFont="1" applyBorder="1"/>
    <xf numFmtId="0" fontId="29" fillId="0" borderId="43" xfId="0" applyFont="1" applyBorder="1"/>
    <xf numFmtId="10" fontId="33" fillId="15" borderId="44" xfId="0" applyNumberFormat="1" applyFont="1" applyFill="1" applyBorder="1" applyAlignment="1">
      <alignment horizontal="right"/>
    </xf>
    <xf numFmtId="0" fontId="32" fillId="0" borderId="5" xfId="0" applyFont="1" applyBorder="1" applyAlignment="1">
      <alignment horizontal="center"/>
    </xf>
    <xf numFmtId="10" fontId="29" fillId="0" borderId="5" xfId="0" applyNumberFormat="1" applyFont="1" applyBorder="1"/>
    <xf numFmtId="0" fontId="32" fillId="15" borderId="44" xfId="0" applyFont="1" applyFill="1" applyBorder="1" applyAlignment="1">
      <alignment horizontal="right"/>
    </xf>
    <xf numFmtId="4" fontId="29" fillId="0" borderId="44" xfId="0" applyNumberFormat="1" applyFont="1" applyBorder="1"/>
    <xf numFmtId="10" fontId="29" fillId="0" borderId="44" xfId="0" applyNumberFormat="1" applyFont="1" applyBorder="1"/>
    <xf numFmtId="166" fontId="33" fillId="15" borderId="44" xfId="0" applyNumberFormat="1" applyFont="1" applyFill="1" applyBorder="1" applyAlignment="1">
      <alignment horizontal="right"/>
    </xf>
    <xf numFmtId="4" fontId="33" fillId="17" borderId="44" xfId="0" applyNumberFormat="1" applyFont="1" applyFill="1" applyBorder="1" applyAlignment="1">
      <alignment horizontal="right"/>
    </xf>
    <xf numFmtId="0" fontId="32" fillId="0" borderId="43" xfId="0" applyFont="1" applyBorder="1"/>
    <xf numFmtId="166" fontId="32" fillId="0" borderId="44" xfId="0" applyNumberFormat="1" applyFont="1" applyBorder="1" applyAlignment="1">
      <alignment horizontal="right"/>
    </xf>
    <xf numFmtId="0" fontId="33" fillId="0" borderId="11" xfId="0" applyFont="1" applyBorder="1"/>
    <xf numFmtId="10" fontId="33" fillId="15" borderId="11" xfId="0" applyNumberFormat="1" applyFont="1" applyFill="1" applyBorder="1" applyAlignment="1">
      <alignment horizontal="right"/>
    </xf>
    <xf numFmtId="168" fontId="34" fillId="0" borderId="44" xfId="0" applyNumberFormat="1" applyFont="1" applyBorder="1" applyAlignment="1">
      <alignment horizontal="right"/>
    </xf>
    <xf numFmtId="168" fontId="34" fillId="16" borderId="44" xfId="0" applyNumberFormat="1" applyFont="1" applyFill="1" applyBorder="1" applyAlignment="1">
      <alignment horizontal="right"/>
    </xf>
    <xf numFmtId="168" fontId="35" fillId="0" borderId="44" xfId="0" applyNumberFormat="1" applyFont="1" applyBorder="1" applyAlignment="1">
      <alignment horizontal="right"/>
    </xf>
    <xf numFmtId="168" fontId="33" fillId="14" borderId="44" xfId="0" applyNumberFormat="1" applyFont="1" applyFill="1" applyBorder="1" applyAlignment="1">
      <alignment horizontal="right"/>
    </xf>
    <xf numFmtId="168" fontId="36" fillId="14" borderId="11" xfId="0" applyNumberFormat="1" applyFont="1" applyFill="1" applyBorder="1" applyAlignment="1">
      <alignment horizontal="right"/>
    </xf>
    <xf numFmtId="165" fontId="31" fillId="0" borderId="0" xfId="1" applyFont="1"/>
    <xf numFmtId="0" fontId="32" fillId="0" borderId="11" xfId="0" applyFont="1" applyBorder="1"/>
    <xf numFmtId="9" fontId="31" fillId="0" borderId="11" xfId="2" applyFont="1" applyBorder="1"/>
    <xf numFmtId="0" fontId="33" fillId="0" borderId="0" xfId="0" applyFont="1"/>
    <xf numFmtId="169" fontId="0" fillId="0" borderId="0" xfId="0" applyNumberFormat="1"/>
    <xf numFmtId="169" fontId="16" fillId="0" borderId="29" xfId="0" applyNumberFormat="1" applyFont="1" applyBorder="1"/>
    <xf numFmtId="169" fontId="15" fillId="0" borderId="0" xfId="0" applyNumberFormat="1" applyFont="1"/>
    <xf numFmtId="170" fontId="16" fillId="0" borderId="29" xfId="0" applyNumberFormat="1" applyFont="1" applyBorder="1"/>
    <xf numFmtId="164" fontId="16" fillId="0" borderId="29" xfId="0" applyNumberFormat="1" applyFont="1" applyBorder="1"/>
    <xf numFmtId="0" fontId="4" fillId="0" borderId="0" xfId="4"/>
    <xf numFmtId="171" fontId="0" fillId="0" borderId="0" xfId="0" applyNumberFormat="1"/>
    <xf numFmtId="171" fontId="16" fillId="0" borderId="29" xfId="0" applyNumberFormat="1" applyFont="1" applyBorder="1"/>
    <xf numFmtId="172" fontId="0" fillId="0" borderId="0" xfId="1" applyNumberFormat="1" applyFont="1"/>
    <xf numFmtId="172" fontId="0" fillId="0" borderId="0" xfId="0" applyNumberFormat="1"/>
    <xf numFmtId="172" fontId="16" fillId="0" borderId="29" xfId="1" applyNumberFormat="1" applyFont="1" applyBorder="1"/>
    <xf numFmtId="9" fontId="4" fillId="0" borderId="0" xfId="4" applyNumberFormat="1"/>
    <xf numFmtId="0" fontId="3" fillId="0" borderId="0" xfId="4" applyFont="1"/>
    <xf numFmtId="172" fontId="4" fillId="0" borderId="0" xfId="1" applyNumberFormat="1" applyFont="1"/>
    <xf numFmtId="0" fontId="3" fillId="0" borderId="0" xfId="4" applyFont="1" applyAlignment="1">
      <alignment horizontal="center" wrapText="1"/>
    </xf>
    <xf numFmtId="0" fontId="3" fillId="0" borderId="0" xfId="4" applyFont="1" applyAlignment="1">
      <alignment wrapText="1"/>
    </xf>
    <xf numFmtId="169" fontId="0" fillId="12" borderId="0" xfId="0" applyNumberFormat="1" applyFill="1"/>
    <xf numFmtId="172" fontId="4" fillId="0" borderId="24" xfId="1" applyNumberFormat="1" applyFont="1" applyBorder="1"/>
    <xf numFmtId="172" fontId="0" fillId="12" borderId="0" xfId="0" applyNumberFormat="1" applyFill="1"/>
    <xf numFmtId="173" fontId="4" fillId="0" borderId="0" xfId="2" applyNumberFormat="1" applyFont="1"/>
    <xf numFmtId="1" fontId="2" fillId="0" borderId="0" xfId="4" applyNumberFormat="1" applyFont="1"/>
    <xf numFmtId="1" fontId="4" fillId="0" borderId="0" xfId="4" applyNumberFormat="1"/>
    <xf numFmtId="173" fontId="37" fillId="0" borderId="0" xfId="5" applyNumberFormat="1" applyFont="1"/>
    <xf numFmtId="0" fontId="15" fillId="0" borderId="0" xfId="0" applyFont="1"/>
    <xf numFmtId="0" fontId="1" fillId="0" borderId="0" xfId="4" applyFont="1"/>
    <xf numFmtId="0" fontId="16" fillId="0" borderId="1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30" fillId="0" borderId="0" xfId="0" applyFont="1" applyAlignment="1">
      <alignment horizontal="right"/>
    </xf>
    <xf numFmtId="0" fontId="0" fillId="0" borderId="0" xfId="0"/>
    <xf numFmtId="0" fontId="33" fillId="0" borderId="45" xfId="0" applyFont="1" applyBorder="1" applyAlignment="1">
      <alignment horizontal="center"/>
    </xf>
    <xf numFmtId="0" fontId="33" fillId="0" borderId="46" xfId="0" applyFont="1" applyBorder="1" applyAlignment="1">
      <alignment horizontal="center"/>
    </xf>
    <xf numFmtId="0" fontId="19" fillId="13" borderId="0" xfId="0" applyFont="1" applyFill="1" applyAlignment="1">
      <alignment horizontal="center" vertical="top"/>
    </xf>
  </cellXfs>
  <cellStyles count="6">
    <cellStyle name="Lien hypertexte" xfId="3" builtinId="8"/>
    <cellStyle name="Monétaire" xfId="1" builtinId="4"/>
    <cellStyle name="Normal" xfId="0" builtinId="0"/>
    <cellStyle name="Normal 2" xfId="4" xr:uid="{344F2486-70DF-4B9D-B10D-620AAE9AEDBC}"/>
    <cellStyle name="Pourcentage" xfId="2" builtinId="5"/>
    <cellStyle name="Pourcentage 2" xfId="5" xr:uid="{DBFF792D-85A9-4DBF-84F5-2674FECDEBB8}"/>
  </cellStyles>
  <dxfs count="8">
    <dxf>
      <font>
        <color theme="5"/>
      </font>
    </dxf>
    <dxf>
      <font>
        <color theme="7"/>
      </font>
      <fill>
        <patternFill>
          <bgColor theme="0"/>
        </patternFill>
      </fill>
    </dxf>
    <dxf>
      <font>
        <color rgb="FF38761D"/>
      </font>
      <fill>
        <patternFill patternType="solid">
          <fgColor rgb="FFCCCCCC"/>
          <bgColor rgb="FFCCCCCC"/>
        </patternFill>
      </fill>
    </dxf>
    <dxf>
      <font>
        <color rgb="FFFF0000"/>
      </font>
      <fill>
        <patternFill patternType="solid">
          <fgColor rgb="FFCCCCCC"/>
          <bgColor rgb="FFCCCCCC"/>
        </patternFill>
      </fill>
    </dxf>
    <dxf>
      <font>
        <color rgb="FFE69138"/>
      </font>
      <fill>
        <patternFill patternType="solid">
          <fgColor rgb="FFCCCCCC"/>
          <bgColor rgb="FFCCCCCC"/>
        </patternFill>
      </fill>
    </dxf>
    <dxf>
      <numFmt numFmtId="172" formatCode="_-* #,##0\ [$€-40C]_-;\-* #,##0\ [$€-40C]_-;_-* &quot;-&quot;??\ [$€-4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72" formatCode="_-* #,##0\ [$€-40C]_-;\-* #,##0\ [$€-40C]_-;_-* &quot;-&quot;??\ [$€-40C]_-;_-@_-"/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F7-42B4-8E1B-345A15053B34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9F7-42B4-8E1B-345A15053B34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F7-42B4-8E1B-345A15053B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9F7-42B4-8E1B-345A15053B34}"/>
              </c:ext>
            </c:extLst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F7-42B4-8E1B-345A15053B34}"/>
              </c:ext>
            </c:extLst>
          </c:dPt>
          <c:dPt>
            <c:idx val="5"/>
            <c:bubble3D val="0"/>
            <c:spPr>
              <a:solidFill>
                <a:srgbClr val="FF6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9F7-42B4-8E1B-345A15053B34}"/>
              </c:ext>
            </c:extLst>
          </c:dPt>
          <c:dPt>
            <c:idx val="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41B-4598-9051-B154A1FCBB5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9F7-42B4-8E1B-345A15053B3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9F7-42B4-8E1B-345A15053B3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9F7-42B4-8E1B-345A15053B3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39F7-42B4-8E1B-345A15053B34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rgbClr val="FF66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F46DBBA-2AA3-442C-8939-972ED4255490}" type="CATEGORYNAME">
                      <a:rPr lang="en-US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pPr>
                        <a:defRPr>
                          <a:solidFill>
                            <a:srgbClr val="FF66FF"/>
                          </a:solidFill>
                        </a:defRPr>
                      </a:pPr>
                      <a:t>[NOM DE CATÉGORIE]</a:t>
                    </a:fld>
                    <a:r>
                      <a:rPr lang="en-US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t>
</a:t>
                    </a:r>
                    <a:fld id="{D9E1AB5E-BA98-4014-95AC-45DDA9A29740}" type="PERCENTAGE">
                      <a:rPr lang="en-US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pPr>
                        <a:defRPr>
                          <a:solidFill>
                            <a:srgbClr val="FF66FF"/>
                          </a:solidFill>
                        </a:defRPr>
                      </a:pPr>
                      <a:t>[POURCENTAGE]</a:t>
                    </a:fld>
                    <a:endParaRPr lang="en-US" baseline="0">
                      <a:solidFill>
                        <a:schemeClr val="accent6">
                          <a:lumMod val="7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66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9F7-42B4-8E1B-345A15053B34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E17093B-0FA1-4208-9573-6195EFE2FCCC}" type="CATEGORYNAME">
                      <a:rPr lang="en-US">
                        <a:solidFill>
                          <a:srgbClr val="FF66FF"/>
                        </a:solidFill>
                      </a:rPr>
                      <a:pPr>
                        <a:defRPr>
                          <a:solidFill>
                            <a:schemeClr val="accent3"/>
                          </a:solidFill>
                        </a:defRPr>
                      </a:pPr>
                      <a:t>[NOM DE CATÉGORIE]</a:t>
                    </a:fld>
                    <a:r>
                      <a:rPr lang="en-US" baseline="0">
                        <a:solidFill>
                          <a:srgbClr val="FF66FF"/>
                        </a:solidFill>
                      </a:rPr>
                      <a:t>
</a:t>
                    </a:r>
                    <a:fld id="{A84F9EF1-90AF-47FA-AD24-2D232528BB4F}" type="PERCENTAGE">
                      <a:rPr lang="en-US" baseline="0">
                        <a:solidFill>
                          <a:srgbClr val="FF66FF"/>
                        </a:solidFill>
                      </a:rPr>
                      <a:pPr>
                        <a:defRPr>
                          <a:solidFill>
                            <a:schemeClr val="accent3"/>
                          </a:solidFill>
                        </a:defRPr>
                      </a:pPr>
                      <a:t>[POURCENTAGE]</a:t>
                    </a:fld>
                    <a:endParaRPr lang="en-US" baseline="0">
                      <a:solidFill>
                        <a:srgbClr val="FF66FF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9F7-42B4-8E1B-345A15053B34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54A5193-CCC3-4362-9DED-33287C1419A7}" type="CATEGORYNAME">
                      <a:rPr lang="en-US">
                        <a:solidFill>
                          <a:schemeClr val="accent3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[NOM DE CATÉGORIE]</a:t>
                    </a:fld>
                    <a:r>
                      <a:rPr lang="en-US" baseline="0">
                        <a:solidFill>
                          <a:schemeClr val="accent3"/>
                        </a:solidFill>
                      </a:rPr>
                      <a:t>
</a:t>
                    </a:r>
                    <a:fld id="{BC6EA144-41BB-404D-8FA0-80C51122CE4A}" type="PERCENTAGE">
                      <a:rPr lang="en-US" baseline="0">
                        <a:solidFill>
                          <a:schemeClr val="accent3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[POURCENTAGE]</a:t>
                    </a:fld>
                    <a:endParaRPr lang="en-US" baseline="0">
                      <a:solidFill>
                        <a:schemeClr val="accent3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141B-4598-9051-B154A1FCBB5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('Emprunt - Performance'!$A$3:$A$8,'Emprunt - Performance'!$A$10)</c:f>
              <c:strCache>
                <c:ptCount val="7"/>
                <c:pt idx="0">
                  <c:v>RMM</c:v>
                </c:pt>
                <c:pt idx="1">
                  <c:v>Lendermarket</c:v>
                </c:pt>
                <c:pt idx="2">
                  <c:v>Revolut</c:v>
                </c:pt>
                <c:pt idx="3">
                  <c:v>Mintos</c:v>
                </c:pt>
                <c:pt idx="4">
                  <c:v>Robot Trading</c:v>
                </c:pt>
                <c:pt idx="5">
                  <c:v>Debitum</c:v>
                </c:pt>
                <c:pt idx="6">
                  <c:v>RealT</c:v>
                </c:pt>
              </c:strCache>
            </c:strRef>
          </c:cat>
          <c:val>
            <c:numRef>
              <c:f>('Emprunt - Performance'!$B$3:$B$8,'Emprunt - Performance'!$B$10)</c:f>
              <c:numCache>
                <c:formatCode>#,##0.00\ "€"</c:formatCode>
                <c:ptCount val="7"/>
                <c:pt idx="0">
                  <c:v>1055</c:v>
                </c:pt>
                <c:pt idx="1">
                  <c:v>21780</c:v>
                </c:pt>
                <c:pt idx="2">
                  <c:v>700</c:v>
                </c:pt>
                <c:pt idx="3">
                  <c:v>206</c:v>
                </c:pt>
                <c:pt idx="4">
                  <c:v>5000</c:v>
                </c:pt>
                <c:pt idx="5">
                  <c:v>54561</c:v>
                </c:pt>
                <c:pt idx="6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7-42B4-8E1B-345A15053B3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'Emprunt - Performance'!$L$3</c:f>
              <c:strCache>
                <c:ptCount val="1"/>
                <c:pt idx="0">
                  <c:v>RMM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Performance'!$M$2:$Y$2</c:f>
              <c:numCache>
                <c:formatCode>mmm\-yy</c:formatCode>
                <c:ptCount val="5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</c:numCache>
            </c:numRef>
          </c:cat>
          <c:val>
            <c:numRef>
              <c:f>'Emprunt - Performance'!$M$3:$Y$3</c:f>
              <c:numCache>
                <c:formatCode>_-* #,##0\ [$€-40C]_-;\-* #,##0\ [$€-40C]_-;_-* "-"??\ [$€-40C]_-;_-@_-</c:formatCode>
                <c:ptCount val="5"/>
                <c:pt idx="0">
                  <c:v>24</c:v>
                </c:pt>
                <c:pt idx="1">
                  <c:v>218</c:v>
                </c:pt>
                <c:pt idx="2">
                  <c:v>186</c:v>
                </c:pt>
                <c:pt idx="3">
                  <c:v>96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B-4417-96C5-375BDD6166C9}"/>
            </c:ext>
          </c:extLst>
        </c:ser>
        <c:ser>
          <c:idx val="1"/>
          <c:order val="1"/>
          <c:tx>
            <c:strRef>
              <c:f>'Emprunt - Performance'!$L$4</c:f>
              <c:strCache>
                <c:ptCount val="1"/>
                <c:pt idx="0">
                  <c:v>Lendermarket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Performance'!$M$2:$Y$2</c:f>
              <c:numCache>
                <c:formatCode>mmm\-yy</c:formatCode>
                <c:ptCount val="5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</c:numCache>
            </c:numRef>
          </c:cat>
          <c:val>
            <c:numRef>
              <c:f>'Emprunt - Performance'!$M$4:$Y$4</c:f>
              <c:numCache>
                <c:formatCode>_-* #,##0\ [$€-40C]_-;\-* #,##0\ [$€-40C]_-;_-* "-"??\ [$€-40C]_-;_-@_-</c:formatCode>
                <c:ptCount val="5"/>
                <c:pt idx="0">
                  <c:v>42</c:v>
                </c:pt>
                <c:pt idx="1">
                  <c:v>148</c:v>
                </c:pt>
                <c:pt idx="2">
                  <c:v>124</c:v>
                </c:pt>
                <c:pt idx="3">
                  <c:v>276</c:v>
                </c:pt>
                <c:pt idx="4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6B-4417-96C5-375BDD6166C9}"/>
            </c:ext>
          </c:extLst>
        </c:ser>
        <c:ser>
          <c:idx val="2"/>
          <c:order val="2"/>
          <c:tx>
            <c:strRef>
              <c:f>'Emprunt - Performance'!$L$5</c:f>
              <c:strCache>
                <c:ptCount val="1"/>
                <c:pt idx="0">
                  <c:v>Revolut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Performance'!$M$2:$Y$2</c:f>
              <c:numCache>
                <c:formatCode>mmm\-yy</c:formatCode>
                <c:ptCount val="5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</c:numCache>
            </c:numRef>
          </c:cat>
          <c:val>
            <c:numRef>
              <c:f>'Emprunt - Performance'!$M$5:$Y$5</c:f>
              <c:numCache>
                <c:formatCode>_-* #,##0\ [$€-40C]_-;\-* #,##0\ [$€-40C]_-;_-* "-"??\ [$€-40C]_-;_-@_-</c:formatCode>
                <c:ptCount val="5"/>
                <c:pt idx="0">
                  <c:v>3</c:v>
                </c:pt>
                <c:pt idx="1">
                  <c:v>27</c:v>
                </c:pt>
                <c:pt idx="2">
                  <c:v>33</c:v>
                </c:pt>
                <c:pt idx="3">
                  <c:v>64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6B-4417-96C5-375BDD6166C9}"/>
            </c:ext>
          </c:extLst>
        </c:ser>
        <c:ser>
          <c:idx val="3"/>
          <c:order val="3"/>
          <c:tx>
            <c:strRef>
              <c:f>'Emprunt - Performance'!$L$6</c:f>
              <c:strCache>
                <c:ptCount val="1"/>
                <c:pt idx="0">
                  <c:v>Mintos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Performance'!$M$2:$Y$2</c:f>
              <c:numCache>
                <c:formatCode>mmm\-yy</c:formatCode>
                <c:ptCount val="5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</c:numCache>
            </c:numRef>
          </c:cat>
          <c:val>
            <c:numRef>
              <c:f>'Emprunt - Performance'!$M$6:$Y$6</c:f>
              <c:numCache>
                <c:formatCode>_-* #,##0\ [$€-40C]_-;\-* #,##0\ [$€-40C]_-;_-* "-"??\ [$€-40C]_-;_-@_-</c:formatCode>
                <c:ptCount val="5"/>
                <c:pt idx="0">
                  <c:v>35</c:v>
                </c:pt>
                <c:pt idx="1">
                  <c:v>131</c:v>
                </c:pt>
                <c:pt idx="2">
                  <c:v>165</c:v>
                </c:pt>
                <c:pt idx="3">
                  <c:v>159</c:v>
                </c:pt>
                <c:pt idx="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6B-4417-96C5-375BDD6166C9}"/>
            </c:ext>
          </c:extLst>
        </c:ser>
        <c:ser>
          <c:idx val="4"/>
          <c:order val="4"/>
          <c:tx>
            <c:strRef>
              <c:f>'Emprunt - Performance'!$L$7</c:f>
              <c:strCache>
                <c:ptCount val="1"/>
                <c:pt idx="0">
                  <c:v>Robot Trading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Performance'!$M$2:$Y$2</c:f>
              <c:numCache>
                <c:formatCode>mmm\-yy</c:formatCode>
                <c:ptCount val="5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</c:numCache>
            </c:numRef>
          </c:cat>
          <c:val>
            <c:numRef>
              <c:f>'Emprunt - Performance'!$M$7:$Y$7</c:f>
              <c:numCache>
                <c:formatCode>_-* #,##0\ [$€-40C]_-;\-* #,##0\ [$€-40C]_-;_-* "-"??\ [$€-40C]_-;_-@_-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6B-4417-96C5-375BDD6166C9}"/>
            </c:ext>
          </c:extLst>
        </c:ser>
        <c:ser>
          <c:idx val="5"/>
          <c:order val="5"/>
          <c:tx>
            <c:strRef>
              <c:f>'Emprunt - Performance'!$L$8</c:f>
              <c:strCache>
                <c:ptCount val="1"/>
                <c:pt idx="0">
                  <c:v>RealT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solidFill>
                <a:schemeClr val="accent3">
                  <a:lumMod val="60000"/>
                  <a:lumOff val="4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Performance'!$M$2:$Y$2</c:f>
              <c:numCache>
                <c:formatCode>mmm\-yy</c:formatCode>
                <c:ptCount val="5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</c:numCache>
            </c:numRef>
          </c:cat>
          <c:val>
            <c:numRef>
              <c:f>'Emprunt - Performance'!$M$8:$Y$8</c:f>
              <c:numCache>
                <c:formatCode>_-* #,##0\ [$€-40C]_-;\-* #,##0\ [$€-40C]_-;_-* "-"??\ [$€-40C]_-;_-@_-</c:formatCode>
                <c:ptCount val="5"/>
                <c:pt idx="0">
                  <c:v>245</c:v>
                </c:pt>
                <c:pt idx="1">
                  <c:v>252</c:v>
                </c:pt>
                <c:pt idx="2">
                  <c:v>253</c:v>
                </c:pt>
                <c:pt idx="3">
                  <c:v>253</c:v>
                </c:pt>
                <c:pt idx="4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B-4C1C-B0BE-8A21CD7120ED}"/>
            </c:ext>
          </c:extLst>
        </c:ser>
        <c:ser>
          <c:idx val="6"/>
          <c:order val="6"/>
          <c:tx>
            <c:strRef>
              <c:f>'Emprunt - Performance'!$L$9</c:f>
              <c:strCache>
                <c:ptCount val="1"/>
                <c:pt idx="0">
                  <c:v>Debitum</c:v>
                </c:pt>
              </c:strCache>
            </c:strRef>
          </c:tx>
          <c:spPr>
            <a:solidFill>
              <a:srgbClr val="FF66FF"/>
            </a:solidFill>
            <a:ln w="25400">
              <a:solidFill>
                <a:srgbClr val="FF66FF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Performance'!$M$2:$Y$2</c:f>
              <c:numCache>
                <c:formatCode>mmm\-yy</c:formatCode>
                <c:ptCount val="5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</c:numCache>
            </c:numRef>
          </c:cat>
          <c:val>
            <c:numRef>
              <c:f>'Emprunt - Performance'!$M$9:$Y$9</c:f>
              <c:numCache>
                <c:formatCode>_-* #,##0\ [$€-40C]_-;\-* #,##0\ [$€-40C]_-;_-* "-"??\ [$€-40C]_-;_-@_-</c:formatCode>
                <c:ptCount val="5"/>
                <c:pt idx="0">
                  <c:v>4</c:v>
                </c:pt>
                <c:pt idx="1">
                  <c:v>92</c:v>
                </c:pt>
                <c:pt idx="2">
                  <c:v>154</c:v>
                </c:pt>
                <c:pt idx="3">
                  <c:v>238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9-44CC-91F0-02F216155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557064"/>
        <c:axId val="1135557392"/>
      </c:areaChart>
      <c:dateAx>
        <c:axId val="11355570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557392"/>
        <c:crosses val="autoZero"/>
        <c:auto val="1"/>
        <c:lblOffset val="100"/>
        <c:baseTimeUnit val="months"/>
      </c:dateAx>
      <c:valAx>
        <c:axId val="11355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[$€-40C]_-;\-* #,##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557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90760663979709"/>
          <c:y val="0.18506840779665876"/>
          <c:w val="0.21238358034916491"/>
          <c:h val="0.57081560727114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'Emprunt - Performance'!$L$40</c:f>
              <c:strCache>
                <c:ptCount val="1"/>
                <c:pt idx="0">
                  <c:v>RMM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Performance'!$M$39:$AJ$39</c:f>
              <c:numCache>
                <c:formatCode>mmm\-yy</c:formatCode>
                <c:ptCount val="11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</c:numCache>
            </c:numRef>
          </c:cat>
          <c:val>
            <c:numRef>
              <c:f>'Emprunt - Performance'!$M$40:$AJ$40</c:f>
              <c:numCache>
                <c:formatCode>_-* #,##0\ "€"_-;\-* #,##0\ "€"_-;_-* "-"??\ "€"_-;_-@_-</c:formatCode>
                <c:ptCount val="11"/>
                <c:pt idx="0">
                  <c:v>25000</c:v>
                </c:pt>
                <c:pt idx="1">
                  <c:v>10000</c:v>
                </c:pt>
                <c:pt idx="2">
                  <c:v>5699</c:v>
                </c:pt>
                <c:pt idx="3">
                  <c:v>5567</c:v>
                </c:pt>
                <c:pt idx="4">
                  <c:v>2598</c:v>
                </c:pt>
                <c:pt idx="5">
                  <c:v>14200</c:v>
                </c:pt>
                <c:pt idx="6">
                  <c:v>14200</c:v>
                </c:pt>
                <c:pt idx="7">
                  <c:v>14200</c:v>
                </c:pt>
                <c:pt idx="8">
                  <c:v>14200</c:v>
                </c:pt>
                <c:pt idx="9">
                  <c:v>10000</c:v>
                </c:pt>
                <c:pt idx="10">
                  <c:v>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4-4D6D-94A6-0DAA43184283}"/>
            </c:ext>
          </c:extLst>
        </c:ser>
        <c:ser>
          <c:idx val="1"/>
          <c:order val="1"/>
          <c:tx>
            <c:strRef>
              <c:f>'Emprunt - Performance'!$L$41</c:f>
              <c:strCache>
                <c:ptCount val="1"/>
                <c:pt idx="0">
                  <c:v>Lendermarket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Performance'!$M$39:$AJ$39</c:f>
              <c:numCache>
                <c:formatCode>mmm\-yy</c:formatCode>
                <c:ptCount val="11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</c:numCache>
            </c:numRef>
          </c:cat>
          <c:val>
            <c:numRef>
              <c:f>'Emprunt - Performance'!$M$41:$AJ$41</c:f>
              <c:numCache>
                <c:formatCode>_-* #,##0\ "€"_-;\-* #,##0\ "€"_-;_-* "-"??\ "€"_-;_-@_-</c:formatCode>
                <c:ptCount val="11"/>
                <c:pt idx="0">
                  <c:v>14000</c:v>
                </c:pt>
                <c:pt idx="1">
                  <c:v>14000</c:v>
                </c:pt>
                <c:pt idx="2">
                  <c:v>12094</c:v>
                </c:pt>
                <c:pt idx="3">
                  <c:v>12221</c:v>
                </c:pt>
                <c:pt idx="4">
                  <c:v>12397</c:v>
                </c:pt>
                <c:pt idx="5">
                  <c:v>12000</c:v>
                </c:pt>
                <c:pt idx="6">
                  <c:v>12543</c:v>
                </c:pt>
                <c:pt idx="7">
                  <c:v>12671</c:v>
                </c:pt>
                <c:pt idx="8">
                  <c:v>12906</c:v>
                </c:pt>
                <c:pt idx="9">
                  <c:v>12906</c:v>
                </c:pt>
                <c:pt idx="10">
                  <c:v>19426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B4-4D6D-94A6-0DAA43184283}"/>
            </c:ext>
          </c:extLst>
        </c:ser>
        <c:ser>
          <c:idx val="2"/>
          <c:order val="2"/>
          <c:tx>
            <c:strRef>
              <c:f>'Emprunt - Performance'!$L$42</c:f>
              <c:strCache>
                <c:ptCount val="1"/>
                <c:pt idx="0">
                  <c:v>Revolut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Performance'!$M$39:$AJ$39</c:f>
              <c:numCache>
                <c:formatCode>mmm\-yy</c:formatCode>
                <c:ptCount val="11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</c:numCache>
            </c:numRef>
          </c:cat>
          <c:val>
            <c:numRef>
              <c:f>'Emprunt - Performance'!$M$42:$AJ$42</c:f>
              <c:numCache>
                <c:formatCode>_-* #,##0\ "€"_-;\-* #,##0\ "€"_-;_-* "-"??\ "€"_-;_-@_-</c:formatCode>
                <c:ptCount val="11"/>
                <c:pt idx="0">
                  <c:v>2000</c:v>
                </c:pt>
                <c:pt idx="1">
                  <c:v>4000</c:v>
                </c:pt>
                <c:pt idx="2">
                  <c:v>5815</c:v>
                </c:pt>
                <c:pt idx="3">
                  <c:v>5858</c:v>
                </c:pt>
                <c:pt idx="4">
                  <c:v>5915</c:v>
                </c:pt>
                <c:pt idx="5">
                  <c:v>27838</c:v>
                </c:pt>
                <c:pt idx="6">
                  <c:v>21000</c:v>
                </c:pt>
                <c:pt idx="7">
                  <c:v>19500</c:v>
                </c:pt>
                <c:pt idx="8">
                  <c:v>20700</c:v>
                </c:pt>
                <c:pt idx="9">
                  <c:v>13000</c:v>
                </c:pt>
                <c:pt idx="10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B4-4D6D-94A6-0DAA43184283}"/>
            </c:ext>
          </c:extLst>
        </c:ser>
        <c:ser>
          <c:idx val="3"/>
          <c:order val="3"/>
          <c:tx>
            <c:strRef>
              <c:f>'Emprunt - Performance'!$L$43</c:f>
              <c:strCache>
                <c:ptCount val="1"/>
                <c:pt idx="0">
                  <c:v>Mintos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Performance'!$M$39:$AJ$39</c:f>
              <c:numCache>
                <c:formatCode>mmm\-yy</c:formatCode>
                <c:ptCount val="11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</c:numCache>
            </c:numRef>
          </c:cat>
          <c:val>
            <c:numRef>
              <c:f>'Emprunt - Performance'!$M$43:$AJ$43</c:f>
              <c:numCache>
                <c:formatCode>_-* #,##0\ "€"_-;\-* #,##0\ "€"_-;_-* "-"??\ "€"_-;_-@_-</c:formatCode>
                <c:ptCount val="11"/>
                <c:pt idx="0">
                  <c:v>13000</c:v>
                </c:pt>
                <c:pt idx="1">
                  <c:v>12500</c:v>
                </c:pt>
                <c:pt idx="2">
                  <c:v>12087</c:v>
                </c:pt>
                <c:pt idx="3">
                  <c:v>12170</c:v>
                </c:pt>
                <c:pt idx="4">
                  <c:v>12332</c:v>
                </c:pt>
                <c:pt idx="5">
                  <c:v>1332</c:v>
                </c:pt>
                <c:pt idx="6">
                  <c:v>894</c:v>
                </c:pt>
                <c:pt idx="7">
                  <c:v>904</c:v>
                </c:pt>
                <c:pt idx="8">
                  <c:v>247</c:v>
                </c:pt>
                <c:pt idx="9">
                  <c:v>247</c:v>
                </c:pt>
                <c:pt idx="10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B4-4D6D-94A6-0DAA43184283}"/>
            </c:ext>
          </c:extLst>
        </c:ser>
        <c:ser>
          <c:idx val="4"/>
          <c:order val="4"/>
          <c:tx>
            <c:strRef>
              <c:f>'Emprunt - Performance'!$L$44</c:f>
              <c:strCache>
                <c:ptCount val="1"/>
                <c:pt idx="0">
                  <c:v>RealT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Performance'!$M$39:$AJ$39</c:f>
              <c:numCache>
                <c:formatCode>mmm\-yy</c:formatCode>
                <c:ptCount val="11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</c:numCache>
            </c:numRef>
          </c:cat>
          <c:val>
            <c:numRef>
              <c:f>'Emprunt - Performance'!$M$44:$AJ$44</c:f>
              <c:numCache>
                <c:formatCode>_-* #,##0\ "€"_-;\-* #,##0\ "€"_-;_-* "-"??\ "€"_-;_-@_-</c:formatCode>
                <c:ptCount val="11"/>
                <c:pt idx="0">
                  <c:v>31500</c:v>
                </c:pt>
                <c:pt idx="1">
                  <c:v>31500</c:v>
                </c:pt>
                <c:pt idx="2">
                  <c:v>29123</c:v>
                </c:pt>
                <c:pt idx="3">
                  <c:v>29123</c:v>
                </c:pt>
                <c:pt idx="4">
                  <c:v>29395</c:v>
                </c:pt>
                <c:pt idx="5">
                  <c:v>28000</c:v>
                </c:pt>
                <c:pt idx="6">
                  <c:v>28000</c:v>
                </c:pt>
                <c:pt idx="7">
                  <c:v>28000</c:v>
                </c:pt>
                <c:pt idx="8">
                  <c:v>28000</c:v>
                </c:pt>
                <c:pt idx="9">
                  <c:v>32000</c:v>
                </c:pt>
                <c:pt idx="10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B4-4D6D-94A6-0DAA43184283}"/>
            </c:ext>
          </c:extLst>
        </c:ser>
        <c:ser>
          <c:idx val="5"/>
          <c:order val="5"/>
          <c:tx>
            <c:strRef>
              <c:f>'Emprunt - Performance'!$L$45</c:f>
              <c:strCache>
                <c:ptCount val="1"/>
                <c:pt idx="0">
                  <c:v>Robot Trading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5400">
              <a:solidFill>
                <a:schemeClr val="accent6">
                  <a:lumMod val="7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Performance'!$M$39:$AJ$39</c:f>
              <c:numCache>
                <c:formatCode>mmm\-yy</c:formatCode>
                <c:ptCount val="11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</c:numCache>
            </c:numRef>
          </c:cat>
          <c:val>
            <c:numRef>
              <c:f>'Emprunt - Performance'!$M$45:$AJ$45</c:f>
              <c:numCache>
                <c:formatCode>_-* #,##0\ "€"_-;\-* #,##0\ "€"_-;_-* "-"??\ "€"_-;_-@_-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700</c:v>
                </c:pt>
                <c:pt idx="1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B4-4D6D-94A6-0DAA43184283}"/>
            </c:ext>
          </c:extLst>
        </c:ser>
        <c:ser>
          <c:idx val="6"/>
          <c:order val="6"/>
          <c:tx>
            <c:strRef>
              <c:f>'Emprunt - Performance'!$L$46</c:f>
              <c:strCache>
                <c:ptCount val="1"/>
                <c:pt idx="0">
                  <c:v>Debitum</c:v>
                </c:pt>
              </c:strCache>
            </c:strRef>
          </c:tx>
          <c:spPr>
            <a:solidFill>
              <a:srgbClr val="FF66FF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'Emprunt - Performance'!$M$39:$AJ$39</c:f>
              <c:numCache>
                <c:formatCode>mmm\-yy</c:formatCode>
                <c:ptCount val="11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</c:numCache>
            </c:numRef>
          </c:cat>
          <c:val>
            <c:numRef>
              <c:f>'Emprunt - Performance'!$M$46:$AJ$46</c:f>
              <c:numCache>
                <c:formatCode>_-* #,##0\ "€"_-;\-* #,##0\ "€"_-;_-* "-"??\ "€"_-;_-@_-</c:formatCode>
                <c:ptCount val="11"/>
                <c:pt idx="0">
                  <c:v>0</c:v>
                </c:pt>
                <c:pt idx="1">
                  <c:v>15000</c:v>
                </c:pt>
                <c:pt idx="2">
                  <c:v>22986</c:v>
                </c:pt>
                <c:pt idx="3">
                  <c:v>23334</c:v>
                </c:pt>
                <c:pt idx="4">
                  <c:v>27372</c:v>
                </c:pt>
                <c:pt idx="5">
                  <c:v>53701</c:v>
                </c:pt>
                <c:pt idx="6">
                  <c:v>60518</c:v>
                </c:pt>
                <c:pt idx="7">
                  <c:v>61336</c:v>
                </c:pt>
                <c:pt idx="8">
                  <c:v>61336</c:v>
                </c:pt>
                <c:pt idx="9">
                  <c:v>61339</c:v>
                </c:pt>
                <c:pt idx="10">
                  <c:v>60341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5-44CD-9192-64B12EFF0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557064"/>
        <c:axId val="1135557392"/>
      </c:areaChart>
      <c:dateAx>
        <c:axId val="11355570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557392"/>
        <c:crosses val="autoZero"/>
        <c:auto val="1"/>
        <c:lblOffset val="100"/>
        <c:baseTimeUnit val="months"/>
      </c:dateAx>
      <c:valAx>
        <c:axId val="11355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557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168868605290618"/>
          <c:y val="0.32691025421719327"/>
          <c:w val="0.11682400668401133"/>
          <c:h val="0.393603959598987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142875</xdr:rowOff>
    </xdr:from>
    <xdr:ext cx="2019300" cy="8096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D84A1BFD-AABE-481E-84B1-E80B03D94F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2875"/>
          <a:ext cx="2019300" cy="8096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646043</xdr:colOff>
      <xdr:row>17</xdr:row>
      <xdr:rowOff>53009</xdr:rowOff>
    </xdr:from>
    <xdr:to>
      <xdr:col>6</xdr:col>
      <xdr:colOff>670891</xdr:colOff>
      <xdr:row>34</xdr:row>
      <xdr:rowOff>73992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B2E16-9DBF-4D99-A036-BAD05228A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577020</xdr:colOff>
      <xdr:row>10</xdr:row>
      <xdr:rowOff>124790</xdr:rowOff>
    </xdr:from>
    <xdr:to>
      <xdr:col>17</xdr:col>
      <xdr:colOff>0</xdr:colOff>
      <xdr:row>34</xdr:row>
      <xdr:rowOff>33130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4A5FD2-2AD0-4235-A6F7-35931CEF5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16564</xdr:colOff>
      <xdr:row>49</xdr:row>
      <xdr:rowOff>0</xdr:rowOff>
    </xdr:from>
    <xdr:to>
      <xdr:col>36</xdr:col>
      <xdr:colOff>17477</xdr:colOff>
      <xdr:row>71</xdr:row>
      <xdr:rowOff>79515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ECC908-EE95-4A5A-8675-9CB387465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D2472-DE3E-4C0B-8026-40EDD4B41E33}" name="Tableau1" displayName="Tableau1" ref="A2:D6" totalsRowShown="0">
  <tableColumns count="4">
    <tableColumn id="1" xr3:uid="{3D3D6860-3113-4BBE-BE15-9F38F5C0187D}" name="Répartition" dataCellStyle="Normal 2"/>
    <tableColumn id="2" xr3:uid="{E485D7D2-5C2B-47C5-9C5E-ED79C265E7B2}" name="Investissement Lendermarket" dataDxfId="7" dataCellStyle="Monétaire"/>
    <tableColumn id="3" xr3:uid="{94CF0A56-F9E0-4F66-B6BB-8B92255BDDED}" name="Taux répartition" dataDxfId="6" dataCellStyle="Pourcentage 2"/>
    <tableColumn id="4" xr3:uid="{E62560AD-E2E1-47CC-939F-0FE84EDB14E5}" name="Intérêts" dataDxfId="5" dataCellStyle="Monétai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alt.co/product/3310-3312-sturtevant-st-detroit-mi-48206/" TargetMode="External"/><Relationship Id="rId21" Type="http://schemas.openxmlformats.org/officeDocument/2006/relationships/hyperlink" Target="https://realt.co/product/2661-2663-cortland-st-detroit-mi-48206/" TargetMode="External"/><Relationship Id="rId42" Type="http://schemas.openxmlformats.org/officeDocument/2006/relationships/hyperlink" Target="https://realt.co/product/14409-linnhurst-st-detroit-mi-48205/" TargetMode="External"/><Relationship Id="rId63" Type="http://schemas.openxmlformats.org/officeDocument/2006/relationships/hyperlink" Target="https://realt.co/product/22512-mcnichols-rd-detroit-mi-48219/" TargetMode="External"/><Relationship Id="rId84" Type="http://schemas.openxmlformats.org/officeDocument/2006/relationships/hyperlink" Target="https://realt.co/product/11300-roxbury-st-detroit-mi-48224/" TargetMode="External"/><Relationship Id="rId138" Type="http://schemas.openxmlformats.org/officeDocument/2006/relationships/hyperlink" Target="https://realt.co/product/13445-tacoma-st-detroit-mi-48205/" TargetMode="External"/><Relationship Id="rId107" Type="http://schemas.openxmlformats.org/officeDocument/2006/relationships/hyperlink" Target="https://realt.co/product/16007-nelacrest-rd-east-cleveland-oh-44112/" TargetMode="External"/><Relationship Id="rId11" Type="http://schemas.openxmlformats.org/officeDocument/2006/relationships/hyperlink" Target="https://realt.co/product/14918-joy-rd-detroit-mi-48228/" TargetMode="External"/><Relationship Id="rId32" Type="http://schemas.openxmlformats.org/officeDocument/2006/relationships/hyperlink" Target="https://realt.co/product/13835-la-salle-blvd-detroit-mi-48238/" TargetMode="External"/><Relationship Id="rId53" Type="http://schemas.openxmlformats.org/officeDocument/2006/relationships/hyperlink" Target="https://realt.co/product/14622-hubbell-ave-detroit-mi-48227/" TargetMode="External"/><Relationship Id="rId74" Type="http://schemas.openxmlformats.org/officeDocument/2006/relationships/hyperlink" Target="https://realt.co/product/19317-gable-st-detroit-mi-48234/" TargetMode="External"/><Relationship Id="rId128" Type="http://schemas.openxmlformats.org/officeDocument/2006/relationships/hyperlink" Target="https://realt.co/product/19535-fairport-st-detroit-mi-48205/" TargetMode="External"/><Relationship Id="rId149" Type="http://schemas.openxmlformats.org/officeDocument/2006/relationships/hyperlink" Target="https://realt.co/product/3588-oakman-blvd-detroit-mi-48204/" TargetMode="External"/><Relationship Id="rId5" Type="http://schemas.openxmlformats.org/officeDocument/2006/relationships/hyperlink" Target="https://realt.co/product/9169-boleyn-st-detroit-mi-48224/" TargetMode="External"/><Relationship Id="rId95" Type="http://schemas.openxmlformats.org/officeDocument/2006/relationships/hyperlink" Target="https://realt.co/product/13041-hayes-st-detroit-mi-48205/" TargetMode="External"/><Relationship Id="rId22" Type="http://schemas.openxmlformats.org/officeDocument/2006/relationships/hyperlink" Target="https://realt.co/product/20160-conant-st-detroit-mi-48234/" TargetMode="External"/><Relationship Id="rId27" Type="http://schemas.openxmlformats.org/officeDocument/2006/relationships/hyperlink" Target="https://realt.co/product/10518-woodland-ave-cleveland-oh-44104/" TargetMode="External"/><Relationship Id="rId43" Type="http://schemas.openxmlformats.org/officeDocument/2006/relationships/hyperlink" Target="https://realt.co/product/s-3510-ewald-circle-detroit-mi-48204/" TargetMode="External"/><Relationship Id="rId48" Type="http://schemas.openxmlformats.org/officeDocument/2006/relationships/hyperlink" Target="https://realt.co/product/s-1418-w-marquette-rd-chicago-il-60636/" TargetMode="External"/><Relationship Id="rId64" Type="http://schemas.openxmlformats.org/officeDocument/2006/relationships/hyperlink" Target="https://realt.co/product/14881-greenfield-rd-detroit-mi-48227/" TargetMode="External"/><Relationship Id="rId69" Type="http://schemas.openxmlformats.org/officeDocument/2006/relationships/hyperlink" Target="https://realt.co/product/10862-marne-st-detroit-mi-48224/" TargetMode="External"/><Relationship Id="rId113" Type="http://schemas.openxmlformats.org/officeDocument/2006/relationships/hyperlink" Target="https://realt.co/product/18980-fenton-st-detroit-mi-48219/" TargetMode="External"/><Relationship Id="rId118" Type="http://schemas.openxmlformats.org/officeDocument/2006/relationships/hyperlink" Target="https://realt.co/product/2911-sturtevant-st-detroit-mi-48206/" TargetMode="External"/><Relationship Id="rId134" Type="http://schemas.openxmlformats.org/officeDocument/2006/relationships/hyperlink" Target="https://realt.co/product/14511-houston-whittier-st-detroit-mi-48205/" TargetMode="External"/><Relationship Id="rId139" Type="http://schemas.openxmlformats.org/officeDocument/2006/relationships/hyperlink" Target="https://realt.co/product/13628-tacoma-st-detroit-mi-48205/" TargetMode="External"/><Relationship Id="rId80" Type="http://schemas.openxmlformats.org/officeDocument/2006/relationships/hyperlink" Target="https://realt.co/product/3432-harding-street-detroit-mi-48214/" TargetMode="External"/><Relationship Id="rId85" Type="http://schemas.openxmlformats.org/officeDocument/2006/relationships/hyperlink" Target="https://realt.co/product/11653-nottingham-rd-detroit-mi-48224/" TargetMode="External"/><Relationship Id="rId150" Type="http://schemas.openxmlformats.org/officeDocument/2006/relationships/hyperlink" Target="https://realt.co/product/10862-marne-st-detroit-mi-48224/" TargetMode="External"/><Relationship Id="rId155" Type="http://schemas.openxmlformats.org/officeDocument/2006/relationships/printerSettings" Target="../printerSettings/printerSettings4.bin"/><Relationship Id="rId12" Type="http://schemas.openxmlformats.org/officeDocument/2006/relationships/hyperlink" Target="https://realt.co/product/1542-s-ridgeway-ave-chicago-il-60623/" TargetMode="External"/><Relationship Id="rId17" Type="http://schemas.openxmlformats.org/officeDocument/2006/relationships/hyperlink" Target="https://realt.co/product/8531-intervale-st-detroit-mi-48238/" TargetMode="External"/><Relationship Id="rId33" Type="http://schemas.openxmlformats.org/officeDocument/2006/relationships/hyperlink" Target="https://realt.co/product/1610-e-state-fair-ave-detroit-mi-48203/" TargetMode="External"/><Relationship Id="rId38" Type="http://schemas.openxmlformats.org/officeDocument/2006/relationships/hyperlink" Target="https://realt.co/product/19000-fenton-st-detroit-mi-48219/" TargetMode="External"/><Relationship Id="rId59" Type="http://schemas.openxmlformats.org/officeDocument/2006/relationships/hyperlink" Target="https://realt.co/product/13445-tacoma-st-detroit-mi-48205/" TargetMode="External"/><Relationship Id="rId103" Type="http://schemas.openxmlformats.org/officeDocument/2006/relationships/hyperlink" Target="https://realt.co/product/13245-monica-st-detroit-mi-48238/" TargetMode="External"/><Relationship Id="rId108" Type="http://schemas.openxmlformats.org/officeDocument/2006/relationships/hyperlink" Target="https://realt.co/product/4342-4344-cortland-st-detroit-mi-48204/" TargetMode="External"/><Relationship Id="rId124" Type="http://schemas.openxmlformats.org/officeDocument/2006/relationships/hyperlink" Target="https://realt.co/product/s-11117-worden-st-detroit-mi-48224/" TargetMode="External"/><Relationship Id="rId129" Type="http://schemas.openxmlformats.org/officeDocument/2006/relationships/hyperlink" Target="https://realt.co/product/8056-e-hollywood-st-detroit-mi-48234/" TargetMode="External"/><Relationship Id="rId54" Type="http://schemas.openxmlformats.org/officeDocument/2006/relationships/hyperlink" Target="https://realt.co/product/8003-s-ingleside-ave-chicago-il-60619/" TargetMode="External"/><Relationship Id="rId70" Type="http://schemas.openxmlformats.org/officeDocument/2006/relationships/hyperlink" Target="https://realt.co/product/305-moss-st-highland-park-mi-48203/" TargetMode="External"/><Relationship Id="rId75" Type="http://schemas.openxmlformats.org/officeDocument/2006/relationships/hyperlink" Target="https://realt.co/product/1000-florida-ave-akron-oh-44314/" TargetMode="External"/><Relationship Id="rId91" Type="http://schemas.openxmlformats.org/officeDocument/2006/relationships/hyperlink" Target="https://realt.co/product/893-895-w-philadelphia-st-detroit-mi-48202/" TargetMode="External"/><Relationship Id="rId96" Type="http://schemas.openxmlformats.org/officeDocument/2006/relationships/hyperlink" Target="https://realt.co/product/1204-e-manhattan-blvd-toledo-oh-43608/" TargetMode="External"/><Relationship Id="rId140" Type="http://schemas.openxmlformats.org/officeDocument/2006/relationships/hyperlink" Target="https://realt.co/product/18527-18529-kelly-rd-detroit-mi-48224/" TargetMode="External"/><Relationship Id="rId145" Type="http://schemas.openxmlformats.org/officeDocument/2006/relationships/hyperlink" Target="https://realt.co/product/14881-greenfield-rd-detroit-mi-48227/" TargetMode="External"/><Relationship Id="rId1" Type="http://schemas.openxmlformats.org/officeDocument/2006/relationships/hyperlink" Target="https://realt.co/product/19317-gable-st-detroit-mi-48234/" TargetMode="External"/><Relationship Id="rId6" Type="http://schemas.openxmlformats.org/officeDocument/2006/relationships/hyperlink" Target="https://realt.co/product/3432-harding-street-detroit-mi-48214/" TargetMode="External"/><Relationship Id="rId23" Type="http://schemas.openxmlformats.org/officeDocument/2006/relationships/hyperlink" Target="https://realt.co/product/5517-5519-elmhurst-detroit-mi-48204/" TargetMode="External"/><Relationship Id="rId28" Type="http://schemas.openxmlformats.org/officeDocument/2006/relationships/hyperlink" Target="https://realt.co/product/16767-greenfield-rd-detroit-mi-48235/" TargetMode="External"/><Relationship Id="rId49" Type="http://schemas.openxmlformats.org/officeDocument/2006/relationships/hyperlink" Target="https://realt.co/product/14329-strathmoor-st-detroit-mi-48227/" TargetMode="External"/><Relationship Id="rId114" Type="http://schemas.openxmlformats.org/officeDocument/2006/relationships/hyperlink" Target="https://realt.co/product/18980-fenton-st-detroit-mi-48219/" TargetMode="External"/><Relationship Id="rId119" Type="http://schemas.openxmlformats.org/officeDocument/2006/relationships/hyperlink" Target="https://realt.co/product/14409-linnhurst-st-detroit-mi-48205/" TargetMode="External"/><Relationship Id="rId44" Type="http://schemas.openxmlformats.org/officeDocument/2006/relationships/hyperlink" Target="https://realt.co/product/s-9200-harvard-rd-detroit-mi-48224/" TargetMode="External"/><Relationship Id="rId60" Type="http://schemas.openxmlformats.org/officeDocument/2006/relationships/hyperlink" Target="https://realt.co/product/18527-18529-kelly-rd-detroit-mi-48224/" TargetMode="External"/><Relationship Id="rId65" Type="http://schemas.openxmlformats.org/officeDocument/2006/relationships/hyperlink" Target="https://realt.co/product/11830-camden-ave-detroit-mi-48213/" TargetMode="External"/><Relationship Id="rId81" Type="http://schemas.openxmlformats.org/officeDocument/2006/relationships/hyperlink" Target="https://realt.co/product/5942-audubon-rd-detroit-mi-48224/" TargetMode="External"/><Relationship Id="rId86" Type="http://schemas.openxmlformats.org/officeDocument/2006/relationships/hyperlink" Target="https://realt.co/product/10700-whittier-ave-detroit-mi-48224/" TargetMode="External"/><Relationship Id="rId130" Type="http://schemas.openxmlformats.org/officeDocument/2006/relationships/hyperlink" Target="https://realt.co/product/15240-edmore-dr-detroit-mi-48205/" TargetMode="External"/><Relationship Id="rId135" Type="http://schemas.openxmlformats.org/officeDocument/2006/relationships/hyperlink" Target="https://realt.co/product/19530-hickory-st-detroit-mi-48205/" TargetMode="External"/><Relationship Id="rId151" Type="http://schemas.openxmlformats.org/officeDocument/2006/relationships/hyperlink" Target="https://realt.co/product/305-moss-st-highland-park-mi-48203/" TargetMode="External"/><Relationship Id="rId156" Type="http://schemas.openxmlformats.org/officeDocument/2006/relationships/customProperty" Target="../customProperty4.bin"/><Relationship Id="rId13" Type="http://schemas.openxmlformats.org/officeDocument/2006/relationships/hyperlink" Target="https://realt.co/product/11957-olga-st-detroit-mi-48213/" TargetMode="External"/><Relationship Id="rId18" Type="http://schemas.openxmlformats.org/officeDocument/2006/relationships/hyperlink" Target="https://realt.co/product/13041-hayes-st-detroit-mi-48205/" TargetMode="External"/><Relationship Id="rId39" Type="http://schemas.openxmlformats.org/officeDocument/2006/relationships/hyperlink" Target="https://realt.co/product/19000-fenton-st-detroit-mi-48219/" TargetMode="External"/><Relationship Id="rId109" Type="http://schemas.openxmlformats.org/officeDocument/2006/relationships/hyperlink" Target="https://realt.co/product/13835-la-salle-blvd-detroit-mi-48238/" TargetMode="External"/><Relationship Id="rId34" Type="http://schemas.openxmlformats.org/officeDocument/2006/relationships/hyperlink" Target="https://realt.co/product/1630-e-state-fair-ave-detroit-mi-48203/" TargetMode="External"/><Relationship Id="rId50" Type="http://schemas.openxmlformats.org/officeDocument/2006/relationships/hyperlink" Target="https://realt.co/product/19535-fairport-st-detroit-mi-48205/" TargetMode="External"/><Relationship Id="rId55" Type="http://schemas.openxmlformats.org/officeDocument/2006/relationships/hyperlink" Target="https://realt.co/product/15894-tacoma-st-detroit-mi-48205/" TargetMode="External"/><Relationship Id="rId76" Type="http://schemas.openxmlformats.org/officeDocument/2006/relationships/hyperlink" Target="https://realt.co/product/6923-greenview-ave-detroit-mi-48228/" TargetMode="External"/><Relationship Id="rId97" Type="http://schemas.openxmlformats.org/officeDocument/2006/relationships/hyperlink" Target="https://realt.co/product/8060-dreamsicle-dr-kissimmee-fl-34747/" TargetMode="External"/><Relationship Id="rId104" Type="http://schemas.openxmlformats.org/officeDocument/2006/relationships/hyperlink" Target="https://realt.co/product/10518-woodland-ave-cleveland-oh-44104/" TargetMode="External"/><Relationship Id="rId120" Type="http://schemas.openxmlformats.org/officeDocument/2006/relationships/hyperlink" Target="https://realt.co/product/s-3510-ewald-circle-detroit-mi-48204/" TargetMode="External"/><Relationship Id="rId125" Type="http://schemas.openxmlformats.org/officeDocument/2006/relationships/hyperlink" Target="https://realt.co/product/s-9624-abington-ave-detroit-mi-48227/" TargetMode="External"/><Relationship Id="rId141" Type="http://schemas.openxmlformats.org/officeDocument/2006/relationships/hyperlink" Target="https://realt.co/product/8809-beckman-ave-cleveland-oh-44104/" TargetMode="External"/><Relationship Id="rId146" Type="http://schemas.openxmlformats.org/officeDocument/2006/relationships/hyperlink" Target="https://realt.co/product/11830-camden-ave-detroit-mi-48213/" TargetMode="External"/><Relationship Id="rId7" Type="http://schemas.openxmlformats.org/officeDocument/2006/relationships/hyperlink" Target="https://realt.co/product/8342-schaefer-highway-detroit-mi-48228/" TargetMode="External"/><Relationship Id="rId71" Type="http://schemas.openxmlformats.org/officeDocument/2006/relationships/hyperlink" Target="https://realt.co/product/4239-alter-rd-detroit-mi-48215/" TargetMode="External"/><Relationship Id="rId92" Type="http://schemas.openxmlformats.org/officeDocument/2006/relationships/hyperlink" Target="https://realt.co/product/7109-7111-pilgrim-st-detroit-mi-48238/" TargetMode="External"/><Relationship Id="rId2" Type="http://schemas.openxmlformats.org/officeDocument/2006/relationships/hyperlink" Target="https://realt.co/product/1000-florida-ave-akron-oh-44314/" TargetMode="External"/><Relationship Id="rId29" Type="http://schemas.openxmlformats.org/officeDocument/2006/relationships/hyperlink" Target="https://realt.co/product/10030-cadieux-rd-detroit-mi-48224/" TargetMode="External"/><Relationship Id="rId24" Type="http://schemas.openxmlformats.org/officeDocument/2006/relationships/hyperlink" Target="https://realt.co/product/2626-2638-wreford-st-detroit-mi-48208/" TargetMode="External"/><Relationship Id="rId40" Type="http://schemas.openxmlformats.org/officeDocument/2006/relationships/hyperlink" Target="https://realt.co/product/3310-3312-sturtevant-st-detroit-mi-48206/" TargetMode="External"/><Relationship Id="rId45" Type="http://schemas.openxmlformats.org/officeDocument/2006/relationships/hyperlink" Target="https://realt.co/product/s-19391-grandview-st-detroit-mi-48219/" TargetMode="External"/><Relationship Id="rId66" Type="http://schemas.openxmlformats.org/officeDocument/2006/relationships/hyperlink" Target="https://realt.co/product/11701-morang-ave-detroit-mi-48224/" TargetMode="External"/><Relationship Id="rId87" Type="http://schemas.openxmlformats.org/officeDocument/2006/relationships/hyperlink" Target="https://realt.co/product/14918-joy-rd-detroit-mi-48228/" TargetMode="External"/><Relationship Id="rId110" Type="http://schemas.openxmlformats.org/officeDocument/2006/relationships/hyperlink" Target="https://realt.co/product/1610-e-state-fair-ave-detroit-mi-48203/" TargetMode="External"/><Relationship Id="rId115" Type="http://schemas.openxmlformats.org/officeDocument/2006/relationships/hyperlink" Target="https://realt.co/product/19000-fenton-st-detroit-mi-48219/" TargetMode="External"/><Relationship Id="rId131" Type="http://schemas.openxmlformats.org/officeDocument/2006/relationships/hyperlink" Target="https://realt.co/product/14622-hubbell-ave-detroit-mi-48227/" TargetMode="External"/><Relationship Id="rId136" Type="http://schemas.openxmlformats.org/officeDocument/2006/relationships/hyperlink" Target="https://realt.co/product/9201-longacre-st-detroit-mi-48228/" TargetMode="External"/><Relationship Id="rId61" Type="http://schemas.openxmlformats.org/officeDocument/2006/relationships/hyperlink" Target="https://realt.co/product/8809-beckman-ave-cleveland-oh-44104/" TargetMode="External"/><Relationship Id="rId82" Type="http://schemas.openxmlformats.org/officeDocument/2006/relationships/hyperlink" Target="https://realt.co/product/8342-schaefer-highway-detroit-mi-48228/" TargetMode="External"/><Relationship Id="rId152" Type="http://schemas.openxmlformats.org/officeDocument/2006/relationships/hyperlink" Target="https://realt.co/product/4239-alter-rd-detroit-mi-48215/" TargetMode="External"/><Relationship Id="rId19" Type="http://schemas.openxmlformats.org/officeDocument/2006/relationships/hyperlink" Target="https://realt.co/product/1204-e-manhattan-blvd-toledo-oh-43608/" TargetMode="External"/><Relationship Id="rId14" Type="http://schemas.openxmlformats.org/officeDocument/2006/relationships/hyperlink" Target="https://realt.co/product/893-895-w-philadelphia-st-detroit-mi-48202/" TargetMode="External"/><Relationship Id="rId30" Type="http://schemas.openxmlformats.org/officeDocument/2006/relationships/hyperlink" Target="https://realt.co/product/16007-nelacrest-rd-east-cleveland-oh-44112/" TargetMode="External"/><Relationship Id="rId35" Type="http://schemas.openxmlformats.org/officeDocument/2006/relationships/hyperlink" Target="https://realt.co/product/1630-e-state-fair-ave-detroit-mi-48203/" TargetMode="External"/><Relationship Id="rId56" Type="http://schemas.openxmlformats.org/officeDocument/2006/relationships/hyperlink" Target="https://realt.co/product/14511-houston-whittier-st-detroit-mi-48205/" TargetMode="External"/><Relationship Id="rId77" Type="http://schemas.openxmlformats.org/officeDocument/2006/relationships/hyperlink" Target="https://realt.co/product/10974-worden-st-detroit-mi-48224/" TargetMode="External"/><Relationship Id="rId100" Type="http://schemas.openxmlformats.org/officeDocument/2006/relationships/hyperlink" Target="https://realt.co/product/5517-5519-elmhurst-detroit-mi-48204/" TargetMode="External"/><Relationship Id="rId105" Type="http://schemas.openxmlformats.org/officeDocument/2006/relationships/hyperlink" Target="https://realt.co/product/16767-greenfield-rd-detroit-mi-48235/" TargetMode="External"/><Relationship Id="rId126" Type="http://schemas.openxmlformats.org/officeDocument/2006/relationships/hyperlink" Target="https://realt.co/product/s-1418-w-marquette-rd-chicago-il-60636/" TargetMode="External"/><Relationship Id="rId147" Type="http://schemas.openxmlformats.org/officeDocument/2006/relationships/hyperlink" Target="https://realt.co/product/11701-morang-ave-detroit-mi-48224/" TargetMode="External"/><Relationship Id="rId8" Type="http://schemas.openxmlformats.org/officeDocument/2006/relationships/hyperlink" Target="https://realt.co/product/16200-fullerton-ave-detroit-mi-48227/" TargetMode="External"/><Relationship Id="rId51" Type="http://schemas.openxmlformats.org/officeDocument/2006/relationships/hyperlink" Target="https://realt.co/product/8056-e-hollywood-st-detroit-mi-48234/" TargetMode="External"/><Relationship Id="rId72" Type="http://schemas.openxmlformats.org/officeDocument/2006/relationships/hyperlink" Target="https://realt.co/product/10059-britain-st-detroit-mi-48224/" TargetMode="External"/><Relationship Id="rId93" Type="http://schemas.openxmlformats.org/officeDocument/2006/relationships/hyperlink" Target="https://realt.co/product/15379-patton-st-detroit-mi-48223/" TargetMode="External"/><Relationship Id="rId98" Type="http://schemas.openxmlformats.org/officeDocument/2006/relationships/hyperlink" Target="https://realt.co/product/2661-2663-cortland-st-detroit-mi-48206/" TargetMode="External"/><Relationship Id="rId121" Type="http://schemas.openxmlformats.org/officeDocument/2006/relationships/hyperlink" Target="https://realt.co/product/s-9200-harvard-rd-detroit-mi-48224/" TargetMode="External"/><Relationship Id="rId142" Type="http://schemas.openxmlformats.org/officeDocument/2006/relationships/hyperlink" Target="https://realt.co/product/12318-imperial-ave-cleveland-oh-44120/" TargetMode="External"/><Relationship Id="rId3" Type="http://schemas.openxmlformats.org/officeDocument/2006/relationships/hyperlink" Target="https://realt.co/product/6923-greenview-ave-detroit-mi-48228/" TargetMode="External"/><Relationship Id="rId25" Type="http://schemas.openxmlformats.org/officeDocument/2006/relationships/hyperlink" Target="https://realt.co/product/11750-morang-ave-detroit-mi-48224/" TargetMode="External"/><Relationship Id="rId46" Type="http://schemas.openxmlformats.org/officeDocument/2006/relationships/hyperlink" Target="https://realt.co/product/s-11117-worden-st-detroit-mi-48224/" TargetMode="External"/><Relationship Id="rId67" Type="http://schemas.openxmlformats.org/officeDocument/2006/relationships/hyperlink" Target="https://realt.co/" TargetMode="External"/><Relationship Id="rId116" Type="http://schemas.openxmlformats.org/officeDocument/2006/relationships/hyperlink" Target="https://realt.co/product/19000-fenton-st-detroit-mi-48219/" TargetMode="External"/><Relationship Id="rId137" Type="http://schemas.openxmlformats.org/officeDocument/2006/relationships/hyperlink" Target="https://realt.co/product/13430-tacoma-st-detroit-mi-48205/" TargetMode="External"/><Relationship Id="rId20" Type="http://schemas.openxmlformats.org/officeDocument/2006/relationships/hyperlink" Target="https://realt.co/product/8060-dreamsicle-dr-kissimmee-fl-34747/" TargetMode="External"/><Relationship Id="rId41" Type="http://schemas.openxmlformats.org/officeDocument/2006/relationships/hyperlink" Target="https://realt.co/product/2911-sturtevant-st-detroit-mi-48206/" TargetMode="External"/><Relationship Id="rId62" Type="http://schemas.openxmlformats.org/officeDocument/2006/relationships/hyperlink" Target="https://realt.co/product/12318-imperial-ave-cleveland-oh-44120/" TargetMode="External"/><Relationship Id="rId83" Type="http://schemas.openxmlformats.org/officeDocument/2006/relationships/hyperlink" Target="https://realt.co/product/16200-fullerton-ave-detroit-mi-48227/" TargetMode="External"/><Relationship Id="rId88" Type="http://schemas.openxmlformats.org/officeDocument/2006/relationships/hyperlink" Target="https://realt.co/product/1542-s-ridgeway-ave-chicago-il-60623/" TargetMode="External"/><Relationship Id="rId111" Type="http://schemas.openxmlformats.org/officeDocument/2006/relationships/hyperlink" Target="https://realt.co/product/1630-e-state-fair-ave-detroit-mi-48203/" TargetMode="External"/><Relationship Id="rId132" Type="http://schemas.openxmlformats.org/officeDocument/2006/relationships/hyperlink" Target="https://realt.co/product/8003-s-ingleside-ave-chicago-il-60619/" TargetMode="External"/><Relationship Id="rId153" Type="http://schemas.openxmlformats.org/officeDocument/2006/relationships/hyperlink" Target="https://realt.co/product/10059-britain-st-detroit-mi-48224/" TargetMode="External"/><Relationship Id="rId15" Type="http://schemas.openxmlformats.org/officeDocument/2006/relationships/hyperlink" Target="https://realt.co/product/7109-7111-pilgrim-st-detroit-mi-48238/" TargetMode="External"/><Relationship Id="rId36" Type="http://schemas.openxmlformats.org/officeDocument/2006/relationships/hyperlink" Target="https://realt.co/product/18980-fenton-st-detroit-mi-48219/" TargetMode="External"/><Relationship Id="rId57" Type="http://schemas.openxmlformats.org/officeDocument/2006/relationships/hyperlink" Target="https://realt.co/product/19530-hickory-st-detroit-mi-48205/" TargetMode="External"/><Relationship Id="rId106" Type="http://schemas.openxmlformats.org/officeDocument/2006/relationships/hyperlink" Target="https://realt.co/product/10030-cadieux-rd-detroit-mi-48224/" TargetMode="External"/><Relationship Id="rId127" Type="http://schemas.openxmlformats.org/officeDocument/2006/relationships/hyperlink" Target="https://realt.co/product/14329-strathmoor-st-detroit-mi-48227/" TargetMode="External"/><Relationship Id="rId10" Type="http://schemas.openxmlformats.org/officeDocument/2006/relationships/hyperlink" Target="https://realt.co/product/10700-whittier-ave-detroit-mi-48224/" TargetMode="External"/><Relationship Id="rId31" Type="http://schemas.openxmlformats.org/officeDocument/2006/relationships/hyperlink" Target="https://realt.co/product/4342-4344-cortland-st-detroit-mi-48204/" TargetMode="External"/><Relationship Id="rId52" Type="http://schemas.openxmlformats.org/officeDocument/2006/relationships/hyperlink" Target="https://realt.co/product/15240-edmore-dr-detroit-mi-48205/" TargetMode="External"/><Relationship Id="rId73" Type="http://schemas.openxmlformats.org/officeDocument/2006/relationships/hyperlink" Target="https://realt.co/product/6582-bewick-st-detroit-mi-48213/" TargetMode="External"/><Relationship Id="rId78" Type="http://schemas.openxmlformats.org/officeDocument/2006/relationships/hyperlink" Target="https://realt.co/product/9166-devonshire-rd-detroit-mi-48224/" TargetMode="External"/><Relationship Id="rId94" Type="http://schemas.openxmlformats.org/officeDocument/2006/relationships/hyperlink" Target="https://realt.co/product/8531-intervale-st-detroit-mi-48238/" TargetMode="External"/><Relationship Id="rId99" Type="http://schemas.openxmlformats.org/officeDocument/2006/relationships/hyperlink" Target="https://realt.co/product/20160-conant-st-detroit-mi-48234/" TargetMode="External"/><Relationship Id="rId101" Type="http://schemas.openxmlformats.org/officeDocument/2006/relationships/hyperlink" Target="https://realt.co/product/2626-2638-wreford-st-detroit-mi-48208/" TargetMode="External"/><Relationship Id="rId122" Type="http://schemas.openxmlformats.org/officeDocument/2006/relationships/hyperlink" Target="https://realt.co/product/s-19391-grandview-st-detroit-mi-48219/" TargetMode="External"/><Relationship Id="rId143" Type="http://schemas.openxmlformats.org/officeDocument/2006/relationships/hyperlink" Target="https://realt.co/product/22512-mcnichols-rd-detroit-mi-48219/" TargetMode="External"/><Relationship Id="rId148" Type="http://schemas.openxmlformats.org/officeDocument/2006/relationships/hyperlink" Target="https://realt.co/product/11845-camden-ave-detroit-mi-48213/" TargetMode="External"/><Relationship Id="rId4" Type="http://schemas.openxmlformats.org/officeDocument/2006/relationships/hyperlink" Target="https://realt.co/" TargetMode="External"/><Relationship Id="rId9" Type="http://schemas.openxmlformats.org/officeDocument/2006/relationships/hyperlink" Target="https://realt.co/product/11653-nottingham-rd-detroit-mi-48224/" TargetMode="External"/><Relationship Id="rId26" Type="http://schemas.openxmlformats.org/officeDocument/2006/relationships/hyperlink" Target="https://realt.co/product/13245-monica-st-detroit-mi-48238/" TargetMode="External"/><Relationship Id="rId47" Type="http://schemas.openxmlformats.org/officeDocument/2006/relationships/hyperlink" Target="https://realt.co/product/s-9624-abington-ave-detroit-mi-48227/" TargetMode="External"/><Relationship Id="rId68" Type="http://schemas.openxmlformats.org/officeDocument/2006/relationships/hyperlink" Target="https://realt.co/product/3588-oakman-blvd-detroit-mi-48204/" TargetMode="External"/><Relationship Id="rId89" Type="http://schemas.openxmlformats.org/officeDocument/2006/relationships/hyperlink" Target="https://realt.co/product/12409-whitehill-st-detroit-mi-48224/" TargetMode="External"/><Relationship Id="rId112" Type="http://schemas.openxmlformats.org/officeDocument/2006/relationships/hyperlink" Target="https://realt.co/product/1630-e-state-fair-ave-detroit-mi-48203/" TargetMode="External"/><Relationship Id="rId133" Type="http://schemas.openxmlformats.org/officeDocument/2006/relationships/hyperlink" Target="https://realt.co/product/15894-tacoma-st-detroit-mi-48205/" TargetMode="External"/><Relationship Id="rId154" Type="http://schemas.openxmlformats.org/officeDocument/2006/relationships/hyperlink" Target="https://realt.co/product/6582-bewick-st-detroit-mi-48213/" TargetMode="External"/><Relationship Id="rId16" Type="http://schemas.openxmlformats.org/officeDocument/2006/relationships/hyperlink" Target="https://realt.co/product/15379-patton-st-detroit-mi-48223/" TargetMode="External"/><Relationship Id="rId37" Type="http://schemas.openxmlformats.org/officeDocument/2006/relationships/hyperlink" Target="https://realt.co/product/18980-fenton-st-detroit-mi-48219/" TargetMode="External"/><Relationship Id="rId58" Type="http://schemas.openxmlformats.org/officeDocument/2006/relationships/hyperlink" Target="https://realt.co/product/13430-tacoma-st-detroit-mi-48205/" TargetMode="External"/><Relationship Id="rId79" Type="http://schemas.openxmlformats.org/officeDocument/2006/relationships/hyperlink" Target="https://realt.co/product/9169-boleyn-st-detroit-mi-48224/" TargetMode="External"/><Relationship Id="rId102" Type="http://schemas.openxmlformats.org/officeDocument/2006/relationships/hyperlink" Target="https://realt.co/product/11750-morang-ave-detroit-mi-48224/" TargetMode="External"/><Relationship Id="rId123" Type="http://schemas.openxmlformats.org/officeDocument/2006/relationships/hyperlink" Target="https://realt.co/product/s-10703-mckinney-st-detroit-mi-48224/" TargetMode="External"/><Relationship Id="rId144" Type="http://schemas.openxmlformats.org/officeDocument/2006/relationships/hyperlink" Target="https://realt.co/product/8744-homer-st-detroit-mi-48209/" TargetMode="External"/><Relationship Id="rId90" Type="http://schemas.openxmlformats.org/officeDocument/2006/relationships/hyperlink" Target="https://realt.co/product/11957-olga-st-detroit-mi-48213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humbledtrader.com/free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8"/>
  <sheetViews>
    <sheetView showGridLines="0" workbookViewId="0">
      <pane ySplit="7" topLeftCell="A8" activePane="bottomLeft" state="frozen"/>
      <selection pane="bottomLeft" activeCell="F4" sqref="F4"/>
    </sheetView>
  </sheetViews>
  <sheetFormatPr baseColWidth="10" defaultColWidth="12.5546875" defaultRowHeight="15.75" customHeight="1" x14ac:dyDescent="0.25"/>
  <cols>
    <col min="1" max="2" width="14.33203125" customWidth="1"/>
    <col min="3" max="3" width="6.44140625" bestFit="1" customWidth="1"/>
    <col min="4" max="4" width="10.88671875" customWidth="1"/>
    <col min="5" max="5" width="10.44140625" customWidth="1"/>
    <col min="6" max="6" width="9.33203125" customWidth="1"/>
    <col min="7" max="7" width="10.5546875" customWidth="1"/>
    <col min="8" max="8" width="5.5546875" customWidth="1"/>
    <col min="9" max="9" width="13.44140625" bestFit="1" customWidth="1"/>
    <col min="10" max="10" width="8.88671875" bestFit="1" customWidth="1"/>
    <col min="11" max="11" width="9.88671875" bestFit="1" customWidth="1"/>
    <col min="12" max="12" width="7" customWidth="1"/>
    <col min="13" max="13" width="7" bestFit="1" customWidth="1"/>
    <col min="14" max="14" width="10.44140625" customWidth="1"/>
    <col min="15" max="15" width="12.109375" customWidth="1"/>
    <col min="16" max="16" width="6.33203125" customWidth="1"/>
    <col min="17" max="17" width="15.44140625" customWidth="1"/>
    <col min="18" max="18" width="5.44140625" bestFit="1" customWidth="1"/>
    <col min="19" max="19" width="7.33203125" customWidth="1"/>
    <col min="20" max="20" width="7" bestFit="1" customWidth="1"/>
    <col min="21" max="22" width="11.44140625" customWidth="1"/>
    <col min="23" max="23" width="10.5546875" customWidth="1"/>
  </cols>
  <sheetData>
    <row r="1" spans="1:26" ht="16.2" x14ac:dyDescent="0.45">
      <c r="A1" s="1" t="s">
        <v>0</v>
      </c>
      <c r="B1" s="2">
        <f ca="1">SUMIF(B8:G34,"Initial",G8:G34)</f>
        <v>25000</v>
      </c>
      <c r="C1" s="3"/>
      <c r="D1" s="4" t="s">
        <v>1</v>
      </c>
      <c r="E1" s="5">
        <f>SUM(G35)</f>
        <v>25000</v>
      </c>
      <c r="F1" s="6"/>
      <c r="G1" s="39" t="s">
        <v>41</v>
      </c>
      <c r="H1" s="6"/>
      <c r="I1" s="7" t="s">
        <v>2</v>
      </c>
      <c r="J1" s="8">
        <v>0.06</v>
      </c>
      <c r="K1" s="9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0" t="s">
        <v>3</v>
      </c>
    </row>
    <row r="2" spans="1:26" ht="16.2" x14ac:dyDescent="0.45">
      <c r="A2" s="11" t="s">
        <v>4</v>
      </c>
      <c r="B2" s="12">
        <f ca="1">SUMIF(B8:G34,"Initial",F8:F34)</f>
        <v>2500</v>
      </c>
      <c r="C2" s="13"/>
      <c r="D2" s="14" t="s">
        <v>5</v>
      </c>
      <c r="E2" s="15">
        <f>F35+V35</f>
        <v>2500</v>
      </c>
      <c r="F2" s="16"/>
      <c r="G2" s="40">
        <f>(E2-E3)/12</f>
        <v>208.33333333333334</v>
      </c>
      <c r="H2" s="6"/>
      <c r="I2" s="11" t="s">
        <v>6</v>
      </c>
      <c r="J2" s="17" t="e">
        <f ca="1">(B1+SUMIF(B8:G34,"Emprunt RMM",G8:G34))*0.7/O35</f>
        <v>#DIV/0!</v>
      </c>
      <c r="K2" s="6"/>
      <c r="L2" s="1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10" t="s">
        <v>7</v>
      </c>
    </row>
    <row r="3" spans="1:26" ht="13.8" thickBot="1" x14ac:dyDescent="0.3">
      <c r="A3" s="11" t="s">
        <v>8</v>
      </c>
      <c r="B3" s="18">
        <f ca="1">$B$2/$B$1</f>
        <v>0.1</v>
      </c>
      <c r="C3" s="13"/>
      <c r="D3" s="14" t="s">
        <v>9</v>
      </c>
      <c r="E3" s="19">
        <f>N35+U35</f>
        <v>0</v>
      </c>
      <c r="F3" s="6"/>
      <c r="G3" s="41">
        <f>G2/4</f>
        <v>52.083333333333336</v>
      </c>
      <c r="H3" s="6"/>
      <c r="I3" s="11" t="s">
        <v>10</v>
      </c>
      <c r="J3" s="20">
        <f ca="1">$E$2-$B$2-$E$3</f>
        <v>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21" t="s">
        <v>11</v>
      </c>
    </row>
    <row r="4" spans="1:26" ht="13.8" thickBot="1" x14ac:dyDescent="0.3">
      <c r="A4" s="22" t="s">
        <v>12</v>
      </c>
      <c r="B4" s="23">
        <f ca="1">$E$2/$B$1</f>
        <v>0.1</v>
      </c>
      <c r="C4" s="24"/>
      <c r="D4" s="25" t="s">
        <v>13</v>
      </c>
      <c r="E4" s="26">
        <f ca="1">($E$2-$E$3)/B1</f>
        <v>0.1</v>
      </c>
      <c r="F4" s="6"/>
      <c r="G4" s="6"/>
      <c r="H4" s="6"/>
      <c r="I4" s="22" t="s">
        <v>14</v>
      </c>
      <c r="J4" s="26">
        <f ca="1">$J$3/$B$1</f>
        <v>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21"/>
    </row>
    <row r="5" spans="1:26" ht="15.7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2" x14ac:dyDescent="0.25">
      <c r="A6" s="27" t="s">
        <v>15</v>
      </c>
      <c r="B6" s="9"/>
      <c r="C6" s="9"/>
      <c r="D6" s="9"/>
      <c r="E6" s="9"/>
      <c r="F6" s="9"/>
      <c r="G6" s="9"/>
      <c r="H6" s="9"/>
      <c r="I6" s="27" t="s">
        <v>11</v>
      </c>
      <c r="J6" s="9"/>
      <c r="K6" s="9"/>
      <c r="L6" s="9"/>
      <c r="M6" s="9"/>
      <c r="N6" s="9"/>
      <c r="O6" s="9"/>
      <c r="P6" s="9"/>
      <c r="Q6" s="27" t="s">
        <v>16</v>
      </c>
      <c r="R6" s="9"/>
      <c r="S6" s="9"/>
      <c r="T6" s="9"/>
      <c r="U6" s="9"/>
      <c r="V6" s="9"/>
      <c r="W6" s="9"/>
      <c r="X6" s="9"/>
      <c r="Y6" s="9"/>
      <c r="Z6" s="9"/>
    </row>
    <row r="7" spans="1:26" ht="13.2" x14ac:dyDescent="0.25">
      <c r="A7" s="28" t="s">
        <v>17</v>
      </c>
      <c r="B7" s="28" t="s">
        <v>18</v>
      </c>
      <c r="C7" s="28" t="s">
        <v>19</v>
      </c>
      <c r="D7" s="28" t="s">
        <v>20</v>
      </c>
      <c r="E7" s="28" t="s">
        <v>21</v>
      </c>
      <c r="F7" s="28" t="s">
        <v>22</v>
      </c>
      <c r="G7" s="28" t="s">
        <v>23</v>
      </c>
      <c r="H7" s="9"/>
      <c r="I7" s="28" t="s">
        <v>17</v>
      </c>
      <c r="J7" s="28" t="s">
        <v>19</v>
      </c>
      <c r="K7" s="28" t="s">
        <v>20</v>
      </c>
      <c r="L7" s="28" t="s">
        <v>24</v>
      </c>
      <c r="M7" s="28" t="s">
        <v>25</v>
      </c>
      <c r="N7" s="28" t="s">
        <v>26</v>
      </c>
      <c r="O7" s="28" t="s">
        <v>27</v>
      </c>
      <c r="P7" s="9"/>
      <c r="Q7" s="28" t="s">
        <v>17</v>
      </c>
      <c r="R7" s="28" t="s">
        <v>19</v>
      </c>
      <c r="S7" s="28" t="s">
        <v>20</v>
      </c>
      <c r="T7" s="28" t="s">
        <v>28</v>
      </c>
      <c r="U7" s="28" t="s">
        <v>29</v>
      </c>
      <c r="V7" s="28" t="s">
        <v>30</v>
      </c>
      <c r="W7" s="28" t="s">
        <v>23</v>
      </c>
      <c r="X7" s="9"/>
      <c r="Y7" s="9"/>
      <c r="Z7" s="9"/>
    </row>
    <row r="8" spans="1:26" ht="13.2" x14ac:dyDescent="0.25">
      <c r="A8" s="29" t="s">
        <v>31</v>
      </c>
      <c r="B8" s="30" t="s">
        <v>3</v>
      </c>
      <c r="C8" s="30">
        <v>50</v>
      </c>
      <c r="D8" s="31">
        <v>500</v>
      </c>
      <c r="E8" s="30">
        <v>5</v>
      </c>
      <c r="F8" s="32">
        <f>E8*D8</f>
        <v>2500</v>
      </c>
      <c r="G8" s="32">
        <f t="shared" ref="G8:G34" si="0">C8*D8</f>
        <v>25000</v>
      </c>
      <c r="H8" s="6"/>
      <c r="I8" s="29" t="s">
        <v>32</v>
      </c>
      <c r="J8" s="30">
        <v>1</v>
      </c>
      <c r="K8" s="42">
        <f>G9</f>
        <v>0</v>
      </c>
      <c r="L8" s="31" t="s">
        <v>33</v>
      </c>
      <c r="M8" s="33">
        <f t="shared" ref="M8:M34" si="1">$J$1</f>
        <v>0.06</v>
      </c>
      <c r="N8" s="32">
        <f t="shared" ref="N8:N34" si="2">K8*M8</f>
        <v>0</v>
      </c>
      <c r="O8" s="32">
        <f t="shared" ref="O8:O34" si="3">J8*K8+N8</f>
        <v>0</v>
      </c>
      <c r="P8" s="6"/>
      <c r="Q8" s="29" t="s">
        <v>34</v>
      </c>
      <c r="R8" s="30">
        <v>1</v>
      </c>
      <c r="S8" s="31">
        <v>0</v>
      </c>
      <c r="T8" s="34">
        <v>0.14499999999999999</v>
      </c>
      <c r="U8" s="30">
        <v>0</v>
      </c>
      <c r="V8" s="32">
        <f t="shared" ref="V8:V34" si="4">T8*S8</f>
        <v>0</v>
      </c>
      <c r="W8" s="32">
        <f t="shared" ref="W8:W34" si="5">S8*R8</f>
        <v>0</v>
      </c>
      <c r="X8" s="6"/>
      <c r="Y8" s="6"/>
      <c r="Z8" s="6"/>
    </row>
    <row r="9" spans="1:26" ht="13.2" x14ac:dyDescent="0.25">
      <c r="A9" s="29" t="s">
        <v>35</v>
      </c>
      <c r="B9" s="30" t="s">
        <v>7</v>
      </c>
      <c r="C9" s="30">
        <v>50</v>
      </c>
      <c r="D9" s="31">
        <v>0</v>
      </c>
      <c r="E9" s="30">
        <v>5</v>
      </c>
      <c r="F9" s="32">
        <f t="shared" ref="F9:F34" si="6">E9*D9</f>
        <v>0</v>
      </c>
      <c r="G9" s="32">
        <f t="shared" si="0"/>
        <v>0</v>
      </c>
      <c r="H9" s="6"/>
      <c r="I9" s="29" t="s">
        <v>32</v>
      </c>
      <c r="J9" s="30">
        <v>1</v>
      </c>
      <c r="K9" s="42">
        <f t="shared" ref="K9:K11" si="7">G10</f>
        <v>0</v>
      </c>
      <c r="L9" s="31" t="s">
        <v>33</v>
      </c>
      <c r="M9" s="33">
        <f t="shared" si="1"/>
        <v>0.06</v>
      </c>
      <c r="N9" s="32">
        <f t="shared" si="2"/>
        <v>0</v>
      </c>
      <c r="O9" s="32">
        <f t="shared" si="3"/>
        <v>0</v>
      </c>
      <c r="P9" s="6"/>
      <c r="Q9" s="29"/>
      <c r="R9" s="30"/>
      <c r="S9" s="31"/>
      <c r="T9" s="34"/>
      <c r="U9" s="30"/>
      <c r="V9" s="32">
        <f t="shared" si="4"/>
        <v>0</v>
      </c>
      <c r="W9" s="32">
        <f t="shared" si="5"/>
        <v>0</v>
      </c>
      <c r="X9" s="6"/>
      <c r="Y9" s="6"/>
      <c r="Z9" s="6"/>
    </row>
    <row r="10" spans="1:26" ht="13.2" x14ac:dyDescent="0.25">
      <c r="A10" s="29" t="s">
        <v>35</v>
      </c>
      <c r="B10" s="30" t="s">
        <v>7</v>
      </c>
      <c r="C10" s="30">
        <v>50</v>
      </c>
      <c r="D10" s="31">
        <v>0</v>
      </c>
      <c r="E10" s="30">
        <v>5</v>
      </c>
      <c r="F10" s="32">
        <f t="shared" si="6"/>
        <v>0</v>
      </c>
      <c r="G10" s="32">
        <f t="shared" si="0"/>
        <v>0</v>
      </c>
      <c r="H10" s="6"/>
      <c r="I10" s="29" t="s">
        <v>32</v>
      </c>
      <c r="J10" s="30">
        <v>1</v>
      </c>
      <c r="K10" s="42">
        <f t="shared" si="7"/>
        <v>0</v>
      </c>
      <c r="L10" s="31" t="s">
        <v>33</v>
      </c>
      <c r="M10" s="33">
        <f t="shared" si="1"/>
        <v>0.06</v>
      </c>
      <c r="N10" s="32">
        <f t="shared" si="2"/>
        <v>0</v>
      </c>
      <c r="O10" s="32">
        <f t="shared" si="3"/>
        <v>0</v>
      </c>
      <c r="P10" s="6"/>
      <c r="Q10" s="29"/>
      <c r="R10" s="30"/>
      <c r="S10" s="31"/>
      <c r="T10" s="34"/>
      <c r="U10" s="30"/>
      <c r="V10" s="32">
        <f t="shared" si="4"/>
        <v>0</v>
      </c>
      <c r="W10" s="32">
        <f t="shared" si="5"/>
        <v>0</v>
      </c>
      <c r="X10" s="6"/>
      <c r="Y10" s="6"/>
      <c r="Z10" s="6"/>
    </row>
    <row r="11" spans="1:26" ht="13.2" x14ac:dyDescent="0.25">
      <c r="A11" s="29" t="s">
        <v>35</v>
      </c>
      <c r="B11" s="30" t="s">
        <v>7</v>
      </c>
      <c r="C11" s="30">
        <v>50</v>
      </c>
      <c r="D11" s="31">
        <v>0</v>
      </c>
      <c r="E11" s="30">
        <v>5</v>
      </c>
      <c r="F11" s="32">
        <f t="shared" si="6"/>
        <v>0</v>
      </c>
      <c r="G11" s="32">
        <f t="shared" si="0"/>
        <v>0</v>
      </c>
      <c r="H11" s="6"/>
      <c r="I11" s="29" t="s">
        <v>32</v>
      </c>
      <c r="J11" s="30">
        <v>1</v>
      </c>
      <c r="K11" s="42">
        <f t="shared" si="7"/>
        <v>0</v>
      </c>
      <c r="L11" s="31" t="s">
        <v>33</v>
      </c>
      <c r="M11" s="33">
        <f t="shared" si="1"/>
        <v>0.06</v>
      </c>
      <c r="N11" s="32">
        <f t="shared" si="2"/>
        <v>0</v>
      </c>
      <c r="O11" s="32">
        <f t="shared" si="3"/>
        <v>0</v>
      </c>
      <c r="P11" s="6"/>
      <c r="Q11" s="29"/>
      <c r="R11" s="30"/>
      <c r="S11" s="31"/>
      <c r="T11" s="34"/>
      <c r="U11" s="30"/>
      <c r="V11" s="32">
        <f t="shared" si="4"/>
        <v>0</v>
      </c>
      <c r="W11" s="32">
        <f t="shared" si="5"/>
        <v>0</v>
      </c>
      <c r="X11" s="6"/>
      <c r="Y11" s="6"/>
      <c r="Z11" s="6"/>
    </row>
    <row r="12" spans="1:26" ht="13.2" x14ac:dyDescent="0.25">
      <c r="A12" s="29" t="s">
        <v>35</v>
      </c>
      <c r="B12" s="30" t="s">
        <v>7</v>
      </c>
      <c r="C12" s="30">
        <v>50</v>
      </c>
      <c r="D12" s="31">
        <v>0</v>
      </c>
      <c r="E12" s="30">
        <v>5</v>
      </c>
      <c r="F12" s="32">
        <f t="shared" si="6"/>
        <v>0</v>
      </c>
      <c r="G12" s="32">
        <f t="shared" si="0"/>
        <v>0</v>
      </c>
      <c r="H12" s="6"/>
      <c r="I12" s="29"/>
      <c r="J12" s="30"/>
      <c r="K12" s="42">
        <f>G13</f>
        <v>0</v>
      </c>
      <c r="L12" s="31"/>
      <c r="M12" s="33">
        <f t="shared" si="1"/>
        <v>0.06</v>
      </c>
      <c r="N12" s="32">
        <f t="shared" si="2"/>
        <v>0</v>
      </c>
      <c r="O12" s="32">
        <f t="shared" si="3"/>
        <v>0</v>
      </c>
      <c r="P12" s="6"/>
      <c r="Q12" s="29"/>
      <c r="R12" s="30"/>
      <c r="S12" s="31"/>
      <c r="T12" s="34"/>
      <c r="U12" s="30"/>
      <c r="V12" s="32">
        <f t="shared" si="4"/>
        <v>0</v>
      </c>
      <c r="W12" s="32">
        <f t="shared" si="5"/>
        <v>0</v>
      </c>
      <c r="X12" s="6"/>
      <c r="Y12" s="6"/>
      <c r="Z12" s="6"/>
    </row>
    <row r="13" spans="1:26" ht="13.2" x14ac:dyDescent="0.25">
      <c r="A13" s="29"/>
      <c r="B13" s="30"/>
      <c r="C13" s="30"/>
      <c r="D13" s="31"/>
      <c r="E13" s="30"/>
      <c r="F13" s="32">
        <f t="shared" si="6"/>
        <v>0</v>
      </c>
      <c r="G13" s="32">
        <f t="shared" si="0"/>
        <v>0</v>
      </c>
      <c r="H13" s="6"/>
      <c r="I13" s="29"/>
      <c r="J13" s="30"/>
      <c r="K13" s="42">
        <f t="shared" ref="K13:K33" si="8">G14</f>
        <v>0</v>
      </c>
      <c r="L13" s="31"/>
      <c r="M13" s="33">
        <f t="shared" si="1"/>
        <v>0.06</v>
      </c>
      <c r="N13" s="32">
        <f t="shared" si="2"/>
        <v>0</v>
      </c>
      <c r="O13" s="32">
        <f t="shared" si="3"/>
        <v>0</v>
      </c>
      <c r="P13" s="6"/>
      <c r="Q13" s="29"/>
      <c r="R13" s="30"/>
      <c r="S13" s="31"/>
      <c r="T13" s="34"/>
      <c r="U13" s="30"/>
      <c r="V13" s="32">
        <f t="shared" si="4"/>
        <v>0</v>
      </c>
      <c r="W13" s="32">
        <f t="shared" si="5"/>
        <v>0</v>
      </c>
      <c r="X13" s="6"/>
      <c r="Y13" s="6"/>
      <c r="Z13" s="6"/>
    </row>
    <row r="14" spans="1:26" ht="13.2" x14ac:dyDescent="0.25">
      <c r="A14" s="29"/>
      <c r="B14" s="30"/>
      <c r="C14" s="30"/>
      <c r="D14" s="31"/>
      <c r="E14" s="30"/>
      <c r="F14" s="32">
        <f t="shared" si="6"/>
        <v>0</v>
      </c>
      <c r="G14" s="32">
        <f t="shared" si="0"/>
        <v>0</v>
      </c>
      <c r="H14" s="6"/>
      <c r="I14" s="29"/>
      <c r="J14" s="30"/>
      <c r="K14" s="42">
        <f t="shared" si="8"/>
        <v>0</v>
      </c>
      <c r="L14" s="31"/>
      <c r="M14" s="33">
        <f t="shared" si="1"/>
        <v>0.06</v>
      </c>
      <c r="N14" s="32">
        <f t="shared" si="2"/>
        <v>0</v>
      </c>
      <c r="O14" s="32">
        <f t="shared" si="3"/>
        <v>0</v>
      </c>
      <c r="P14" s="6"/>
      <c r="Q14" s="29"/>
      <c r="R14" s="30"/>
      <c r="S14" s="31"/>
      <c r="T14" s="34"/>
      <c r="U14" s="30"/>
      <c r="V14" s="32">
        <f t="shared" si="4"/>
        <v>0</v>
      </c>
      <c r="W14" s="32">
        <f t="shared" si="5"/>
        <v>0</v>
      </c>
      <c r="X14" s="6"/>
      <c r="Y14" s="6"/>
      <c r="Z14" s="6"/>
    </row>
    <row r="15" spans="1:26" ht="13.2" x14ac:dyDescent="0.25">
      <c r="A15" s="29"/>
      <c r="B15" s="30"/>
      <c r="C15" s="30"/>
      <c r="D15" s="31"/>
      <c r="E15" s="30"/>
      <c r="F15" s="32">
        <f t="shared" si="6"/>
        <v>0</v>
      </c>
      <c r="G15" s="32">
        <f t="shared" si="0"/>
        <v>0</v>
      </c>
      <c r="H15" s="6"/>
      <c r="I15" s="29"/>
      <c r="J15" s="30"/>
      <c r="K15" s="42">
        <f t="shared" si="8"/>
        <v>0</v>
      </c>
      <c r="L15" s="31"/>
      <c r="M15" s="33">
        <f t="shared" si="1"/>
        <v>0.06</v>
      </c>
      <c r="N15" s="32">
        <f t="shared" si="2"/>
        <v>0</v>
      </c>
      <c r="O15" s="32">
        <f t="shared" si="3"/>
        <v>0</v>
      </c>
      <c r="P15" s="6"/>
      <c r="Q15" s="29"/>
      <c r="R15" s="30"/>
      <c r="S15" s="31"/>
      <c r="T15" s="34"/>
      <c r="U15" s="30"/>
      <c r="V15" s="32">
        <f t="shared" si="4"/>
        <v>0</v>
      </c>
      <c r="W15" s="32">
        <f t="shared" si="5"/>
        <v>0</v>
      </c>
      <c r="X15" s="6"/>
      <c r="Y15" s="6"/>
      <c r="Z15" s="6"/>
    </row>
    <row r="16" spans="1:26" ht="13.2" x14ac:dyDescent="0.25">
      <c r="A16" s="29"/>
      <c r="B16" s="30"/>
      <c r="C16" s="30"/>
      <c r="D16" s="31"/>
      <c r="E16" s="30"/>
      <c r="F16" s="32">
        <f t="shared" si="6"/>
        <v>0</v>
      </c>
      <c r="G16" s="32">
        <f t="shared" si="0"/>
        <v>0</v>
      </c>
      <c r="H16" s="6"/>
      <c r="I16" s="29"/>
      <c r="J16" s="30"/>
      <c r="K16" s="42">
        <f t="shared" si="8"/>
        <v>0</v>
      </c>
      <c r="L16" s="31"/>
      <c r="M16" s="33">
        <f t="shared" si="1"/>
        <v>0.06</v>
      </c>
      <c r="N16" s="32">
        <f t="shared" si="2"/>
        <v>0</v>
      </c>
      <c r="O16" s="32">
        <f t="shared" si="3"/>
        <v>0</v>
      </c>
      <c r="P16" s="6"/>
      <c r="Q16" s="29"/>
      <c r="R16" s="30"/>
      <c r="S16" s="31"/>
      <c r="T16" s="34"/>
      <c r="U16" s="30"/>
      <c r="V16" s="32">
        <f t="shared" si="4"/>
        <v>0</v>
      </c>
      <c r="W16" s="32">
        <f t="shared" si="5"/>
        <v>0</v>
      </c>
      <c r="X16" s="6"/>
      <c r="Y16" s="6"/>
      <c r="Z16" s="6"/>
    </row>
    <row r="17" spans="1:26" ht="13.2" x14ac:dyDescent="0.25">
      <c r="A17" s="29"/>
      <c r="B17" s="30"/>
      <c r="C17" s="30"/>
      <c r="D17" s="31"/>
      <c r="E17" s="30"/>
      <c r="F17" s="32">
        <f t="shared" si="6"/>
        <v>0</v>
      </c>
      <c r="G17" s="32">
        <f t="shared" si="0"/>
        <v>0</v>
      </c>
      <c r="H17" s="6"/>
      <c r="I17" s="29"/>
      <c r="J17" s="30"/>
      <c r="K17" s="42">
        <f t="shared" si="8"/>
        <v>0</v>
      </c>
      <c r="L17" s="31"/>
      <c r="M17" s="33">
        <f t="shared" si="1"/>
        <v>0.06</v>
      </c>
      <c r="N17" s="32">
        <f t="shared" si="2"/>
        <v>0</v>
      </c>
      <c r="O17" s="32">
        <f t="shared" si="3"/>
        <v>0</v>
      </c>
      <c r="P17" s="6"/>
      <c r="Q17" s="29"/>
      <c r="R17" s="30"/>
      <c r="S17" s="31"/>
      <c r="T17" s="34"/>
      <c r="U17" s="30"/>
      <c r="V17" s="32">
        <f t="shared" si="4"/>
        <v>0</v>
      </c>
      <c r="W17" s="32">
        <f t="shared" si="5"/>
        <v>0</v>
      </c>
      <c r="X17" s="6"/>
      <c r="Y17" s="6"/>
      <c r="Z17" s="6"/>
    </row>
    <row r="18" spans="1:26" ht="13.2" x14ac:dyDescent="0.25">
      <c r="A18" s="29"/>
      <c r="B18" s="30"/>
      <c r="C18" s="30"/>
      <c r="D18" s="31"/>
      <c r="E18" s="30"/>
      <c r="F18" s="32">
        <f t="shared" si="6"/>
        <v>0</v>
      </c>
      <c r="G18" s="32">
        <f t="shared" si="0"/>
        <v>0</v>
      </c>
      <c r="H18" s="6"/>
      <c r="I18" s="29"/>
      <c r="J18" s="30"/>
      <c r="K18" s="42">
        <f t="shared" si="8"/>
        <v>0</v>
      </c>
      <c r="L18" s="31"/>
      <c r="M18" s="33">
        <f t="shared" si="1"/>
        <v>0.06</v>
      </c>
      <c r="N18" s="32">
        <f t="shared" si="2"/>
        <v>0</v>
      </c>
      <c r="O18" s="32">
        <f t="shared" si="3"/>
        <v>0</v>
      </c>
      <c r="P18" s="6"/>
      <c r="Q18" s="29"/>
      <c r="R18" s="30"/>
      <c r="S18" s="31"/>
      <c r="T18" s="34"/>
      <c r="U18" s="30"/>
      <c r="V18" s="32">
        <f t="shared" si="4"/>
        <v>0</v>
      </c>
      <c r="W18" s="32">
        <f t="shared" si="5"/>
        <v>0</v>
      </c>
      <c r="X18" s="6"/>
      <c r="Y18" s="6"/>
      <c r="Z18" s="6"/>
    </row>
    <row r="19" spans="1:26" ht="13.2" x14ac:dyDescent="0.25">
      <c r="A19" s="29"/>
      <c r="B19" s="30"/>
      <c r="C19" s="30"/>
      <c r="D19" s="31"/>
      <c r="E19" s="30"/>
      <c r="F19" s="32">
        <f t="shared" si="6"/>
        <v>0</v>
      </c>
      <c r="G19" s="32">
        <f t="shared" si="0"/>
        <v>0</v>
      </c>
      <c r="H19" s="6"/>
      <c r="I19" s="29"/>
      <c r="J19" s="30"/>
      <c r="K19" s="42">
        <f t="shared" si="8"/>
        <v>0</v>
      </c>
      <c r="L19" s="31"/>
      <c r="M19" s="33">
        <f t="shared" si="1"/>
        <v>0.06</v>
      </c>
      <c r="N19" s="32">
        <f t="shared" si="2"/>
        <v>0</v>
      </c>
      <c r="O19" s="32">
        <f t="shared" si="3"/>
        <v>0</v>
      </c>
      <c r="P19" s="6"/>
      <c r="Q19" s="29"/>
      <c r="R19" s="30"/>
      <c r="S19" s="31"/>
      <c r="T19" s="34"/>
      <c r="U19" s="30"/>
      <c r="V19" s="32">
        <f t="shared" si="4"/>
        <v>0</v>
      </c>
      <c r="W19" s="32">
        <f t="shared" si="5"/>
        <v>0</v>
      </c>
      <c r="X19" s="6"/>
      <c r="Y19" s="6"/>
      <c r="Z19" s="6"/>
    </row>
    <row r="20" spans="1:26" ht="13.2" x14ac:dyDescent="0.25">
      <c r="A20" s="29"/>
      <c r="B20" s="30"/>
      <c r="C20" s="30"/>
      <c r="D20" s="31"/>
      <c r="E20" s="30"/>
      <c r="F20" s="32">
        <f t="shared" si="6"/>
        <v>0</v>
      </c>
      <c r="G20" s="32">
        <f t="shared" si="0"/>
        <v>0</v>
      </c>
      <c r="H20" s="6"/>
      <c r="I20" s="29"/>
      <c r="J20" s="30"/>
      <c r="K20" s="42">
        <f t="shared" si="8"/>
        <v>0</v>
      </c>
      <c r="L20" s="31"/>
      <c r="M20" s="33">
        <f t="shared" si="1"/>
        <v>0.06</v>
      </c>
      <c r="N20" s="32">
        <f t="shared" si="2"/>
        <v>0</v>
      </c>
      <c r="O20" s="32">
        <f t="shared" si="3"/>
        <v>0</v>
      </c>
      <c r="P20" s="6"/>
      <c r="Q20" s="29"/>
      <c r="R20" s="30"/>
      <c r="S20" s="31"/>
      <c r="T20" s="34"/>
      <c r="U20" s="30"/>
      <c r="V20" s="32">
        <f t="shared" si="4"/>
        <v>0</v>
      </c>
      <c r="W20" s="32">
        <f t="shared" si="5"/>
        <v>0</v>
      </c>
      <c r="X20" s="6"/>
      <c r="Y20" s="6"/>
      <c r="Z20" s="6"/>
    </row>
    <row r="21" spans="1:26" ht="13.2" x14ac:dyDescent="0.25">
      <c r="A21" s="29"/>
      <c r="B21" s="30"/>
      <c r="C21" s="30"/>
      <c r="D21" s="31"/>
      <c r="E21" s="30"/>
      <c r="F21" s="32">
        <f t="shared" si="6"/>
        <v>0</v>
      </c>
      <c r="G21" s="32">
        <f t="shared" si="0"/>
        <v>0</v>
      </c>
      <c r="H21" s="6"/>
      <c r="I21" s="29"/>
      <c r="J21" s="30"/>
      <c r="K21" s="42">
        <f t="shared" si="8"/>
        <v>0</v>
      </c>
      <c r="L21" s="31"/>
      <c r="M21" s="33">
        <f t="shared" si="1"/>
        <v>0.06</v>
      </c>
      <c r="N21" s="32">
        <f t="shared" si="2"/>
        <v>0</v>
      </c>
      <c r="O21" s="32">
        <f t="shared" si="3"/>
        <v>0</v>
      </c>
      <c r="P21" s="6"/>
      <c r="Q21" s="29"/>
      <c r="R21" s="30"/>
      <c r="S21" s="31"/>
      <c r="T21" s="34"/>
      <c r="U21" s="30"/>
      <c r="V21" s="32">
        <f t="shared" si="4"/>
        <v>0</v>
      </c>
      <c r="W21" s="32">
        <f t="shared" si="5"/>
        <v>0</v>
      </c>
      <c r="X21" s="6"/>
      <c r="Y21" s="6"/>
      <c r="Z21" s="6"/>
    </row>
    <row r="22" spans="1:26" ht="13.2" x14ac:dyDescent="0.25">
      <c r="A22" s="29"/>
      <c r="B22" s="30"/>
      <c r="C22" s="30"/>
      <c r="D22" s="31"/>
      <c r="E22" s="30"/>
      <c r="F22" s="32">
        <f t="shared" si="6"/>
        <v>0</v>
      </c>
      <c r="G22" s="32">
        <f t="shared" si="0"/>
        <v>0</v>
      </c>
      <c r="H22" s="6"/>
      <c r="I22" s="29"/>
      <c r="J22" s="30"/>
      <c r="K22" s="42">
        <f t="shared" si="8"/>
        <v>0</v>
      </c>
      <c r="L22" s="31"/>
      <c r="M22" s="33">
        <f t="shared" si="1"/>
        <v>0.06</v>
      </c>
      <c r="N22" s="32">
        <f t="shared" si="2"/>
        <v>0</v>
      </c>
      <c r="O22" s="32">
        <f t="shared" si="3"/>
        <v>0</v>
      </c>
      <c r="P22" s="6"/>
      <c r="Q22" s="29"/>
      <c r="R22" s="30"/>
      <c r="S22" s="31"/>
      <c r="T22" s="34"/>
      <c r="U22" s="30"/>
      <c r="V22" s="32">
        <f t="shared" si="4"/>
        <v>0</v>
      </c>
      <c r="W22" s="32">
        <f t="shared" si="5"/>
        <v>0</v>
      </c>
      <c r="X22" s="6"/>
      <c r="Y22" s="6"/>
      <c r="Z22" s="6"/>
    </row>
    <row r="23" spans="1:26" ht="13.2" x14ac:dyDescent="0.25">
      <c r="A23" s="29"/>
      <c r="B23" s="30"/>
      <c r="C23" s="30"/>
      <c r="D23" s="31"/>
      <c r="E23" s="30"/>
      <c r="F23" s="32">
        <f t="shared" si="6"/>
        <v>0</v>
      </c>
      <c r="G23" s="32">
        <f t="shared" si="0"/>
        <v>0</v>
      </c>
      <c r="H23" s="6"/>
      <c r="I23" s="29"/>
      <c r="J23" s="30"/>
      <c r="K23" s="42">
        <f t="shared" si="8"/>
        <v>0</v>
      </c>
      <c r="L23" s="31"/>
      <c r="M23" s="33">
        <f t="shared" si="1"/>
        <v>0.06</v>
      </c>
      <c r="N23" s="32">
        <f t="shared" si="2"/>
        <v>0</v>
      </c>
      <c r="O23" s="32">
        <f t="shared" si="3"/>
        <v>0</v>
      </c>
      <c r="P23" s="6"/>
      <c r="Q23" s="29"/>
      <c r="R23" s="30"/>
      <c r="S23" s="31"/>
      <c r="T23" s="34"/>
      <c r="U23" s="30"/>
      <c r="V23" s="32">
        <f t="shared" si="4"/>
        <v>0</v>
      </c>
      <c r="W23" s="32">
        <f t="shared" si="5"/>
        <v>0</v>
      </c>
      <c r="X23" s="6"/>
      <c r="Y23" s="6"/>
      <c r="Z23" s="6"/>
    </row>
    <row r="24" spans="1:26" ht="13.2" x14ac:dyDescent="0.25">
      <c r="A24" s="29"/>
      <c r="B24" s="30"/>
      <c r="C24" s="30"/>
      <c r="D24" s="31"/>
      <c r="E24" s="30"/>
      <c r="F24" s="32">
        <f t="shared" si="6"/>
        <v>0</v>
      </c>
      <c r="G24" s="32">
        <f t="shared" si="0"/>
        <v>0</v>
      </c>
      <c r="H24" s="6"/>
      <c r="I24" s="29"/>
      <c r="J24" s="30"/>
      <c r="K24" s="42">
        <f t="shared" si="8"/>
        <v>0</v>
      </c>
      <c r="L24" s="31"/>
      <c r="M24" s="33">
        <f t="shared" si="1"/>
        <v>0.06</v>
      </c>
      <c r="N24" s="32">
        <f t="shared" si="2"/>
        <v>0</v>
      </c>
      <c r="O24" s="32">
        <f t="shared" si="3"/>
        <v>0</v>
      </c>
      <c r="P24" s="6"/>
      <c r="Q24" s="29"/>
      <c r="R24" s="30"/>
      <c r="S24" s="31"/>
      <c r="T24" s="34"/>
      <c r="U24" s="30"/>
      <c r="V24" s="32">
        <f t="shared" si="4"/>
        <v>0</v>
      </c>
      <c r="W24" s="32">
        <f t="shared" si="5"/>
        <v>0</v>
      </c>
      <c r="X24" s="6"/>
      <c r="Y24" s="6"/>
      <c r="Z24" s="6"/>
    </row>
    <row r="25" spans="1:26" ht="13.2" x14ac:dyDescent="0.25">
      <c r="A25" s="29"/>
      <c r="B25" s="30"/>
      <c r="C25" s="30"/>
      <c r="D25" s="31"/>
      <c r="E25" s="30"/>
      <c r="F25" s="32">
        <f t="shared" si="6"/>
        <v>0</v>
      </c>
      <c r="G25" s="32">
        <f t="shared" si="0"/>
        <v>0</v>
      </c>
      <c r="H25" s="6"/>
      <c r="I25" s="29"/>
      <c r="J25" s="30"/>
      <c r="K25" s="42">
        <f t="shared" si="8"/>
        <v>0</v>
      </c>
      <c r="L25" s="31"/>
      <c r="M25" s="33">
        <f t="shared" si="1"/>
        <v>0.06</v>
      </c>
      <c r="N25" s="32">
        <f t="shared" si="2"/>
        <v>0</v>
      </c>
      <c r="O25" s="32">
        <f t="shared" si="3"/>
        <v>0</v>
      </c>
      <c r="P25" s="6"/>
      <c r="Q25" s="29"/>
      <c r="R25" s="30"/>
      <c r="S25" s="31"/>
      <c r="T25" s="34"/>
      <c r="U25" s="30"/>
      <c r="V25" s="32">
        <f t="shared" si="4"/>
        <v>0</v>
      </c>
      <c r="W25" s="32">
        <f t="shared" si="5"/>
        <v>0</v>
      </c>
      <c r="X25" s="6"/>
      <c r="Y25" s="6"/>
      <c r="Z25" s="6"/>
    </row>
    <row r="26" spans="1:26" ht="13.2" x14ac:dyDescent="0.25">
      <c r="A26" s="29"/>
      <c r="B26" s="30"/>
      <c r="C26" s="30"/>
      <c r="D26" s="31"/>
      <c r="E26" s="30"/>
      <c r="F26" s="32">
        <f t="shared" si="6"/>
        <v>0</v>
      </c>
      <c r="G26" s="32">
        <f t="shared" si="0"/>
        <v>0</v>
      </c>
      <c r="H26" s="6"/>
      <c r="I26" s="29"/>
      <c r="J26" s="30"/>
      <c r="K26" s="42">
        <f t="shared" si="8"/>
        <v>0</v>
      </c>
      <c r="L26" s="31"/>
      <c r="M26" s="33">
        <f t="shared" si="1"/>
        <v>0.06</v>
      </c>
      <c r="N26" s="32">
        <f t="shared" si="2"/>
        <v>0</v>
      </c>
      <c r="O26" s="32">
        <f t="shared" si="3"/>
        <v>0</v>
      </c>
      <c r="P26" s="6"/>
      <c r="Q26" s="29"/>
      <c r="R26" s="30"/>
      <c r="S26" s="31"/>
      <c r="T26" s="34"/>
      <c r="U26" s="30"/>
      <c r="V26" s="32">
        <f t="shared" si="4"/>
        <v>0</v>
      </c>
      <c r="W26" s="32">
        <f t="shared" si="5"/>
        <v>0</v>
      </c>
      <c r="X26" s="6"/>
      <c r="Y26" s="6"/>
      <c r="Z26" s="6"/>
    </row>
    <row r="27" spans="1:26" ht="13.2" x14ac:dyDescent="0.25">
      <c r="A27" s="29"/>
      <c r="B27" s="30"/>
      <c r="C27" s="30"/>
      <c r="D27" s="31"/>
      <c r="E27" s="30"/>
      <c r="F27" s="32">
        <f t="shared" si="6"/>
        <v>0</v>
      </c>
      <c r="G27" s="32">
        <f t="shared" si="0"/>
        <v>0</v>
      </c>
      <c r="H27" s="6"/>
      <c r="I27" s="29"/>
      <c r="J27" s="30"/>
      <c r="K27" s="42">
        <f t="shared" si="8"/>
        <v>0</v>
      </c>
      <c r="L27" s="31"/>
      <c r="M27" s="33">
        <f t="shared" si="1"/>
        <v>0.06</v>
      </c>
      <c r="N27" s="32">
        <f t="shared" si="2"/>
        <v>0</v>
      </c>
      <c r="O27" s="32">
        <f t="shared" si="3"/>
        <v>0</v>
      </c>
      <c r="P27" s="6"/>
      <c r="Q27" s="29"/>
      <c r="R27" s="30"/>
      <c r="S27" s="31"/>
      <c r="T27" s="34"/>
      <c r="U27" s="30"/>
      <c r="V27" s="32">
        <f t="shared" si="4"/>
        <v>0</v>
      </c>
      <c r="W27" s="32">
        <f t="shared" si="5"/>
        <v>0</v>
      </c>
      <c r="X27" s="6"/>
      <c r="Y27" s="6"/>
      <c r="Z27" s="6"/>
    </row>
    <row r="28" spans="1:26" ht="13.2" x14ac:dyDescent="0.25">
      <c r="A28" s="29"/>
      <c r="B28" s="30"/>
      <c r="C28" s="30"/>
      <c r="D28" s="31"/>
      <c r="E28" s="30"/>
      <c r="F28" s="32">
        <f t="shared" si="6"/>
        <v>0</v>
      </c>
      <c r="G28" s="32">
        <f t="shared" si="0"/>
        <v>0</v>
      </c>
      <c r="H28" s="6"/>
      <c r="I28" s="29"/>
      <c r="J28" s="30"/>
      <c r="K28" s="42">
        <f t="shared" si="8"/>
        <v>0</v>
      </c>
      <c r="L28" s="31"/>
      <c r="M28" s="33">
        <f t="shared" si="1"/>
        <v>0.06</v>
      </c>
      <c r="N28" s="32">
        <f t="shared" si="2"/>
        <v>0</v>
      </c>
      <c r="O28" s="32">
        <f t="shared" si="3"/>
        <v>0</v>
      </c>
      <c r="P28" s="6"/>
      <c r="Q28" s="29"/>
      <c r="R28" s="30"/>
      <c r="S28" s="31"/>
      <c r="T28" s="34"/>
      <c r="U28" s="30"/>
      <c r="V28" s="32">
        <f t="shared" si="4"/>
        <v>0</v>
      </c>
      <c r="W28" s="32">
        <f t="shared" si="5"/>
        <v>0</v>
      </c>
      <c r="X28" s="6"/>
      <c r="Y28" s="6"/>
      <c r="Z28" s="6"/>
    </row>
    <row r="29" spans="1:26" ht="13.2" x14ac:dyDescent="0.25">
      <c r="A29" s="29"/>
      <c r="B29" s="30"/>
      <c r="C29" s="30"/>
      <c r="D29" s="31"/>
      <c r="E29" s="30"/>
      <c r="F29" s="32">
        <f t="shared" si="6"/>
        <v>0</v>
      </c>
      <c r="G29" s="32">
        <f t="shared" si="0"/>
        <v>0</v>
      </c>
      <c r="H29" s="6"/>
      <c r="I29" s="29"/>
      <c r="J29" s="30"/>
      <c r="K29" s="42">
        <f t="shared" si="8"/>
        <v>0</v>
      </c>
      <c r="L29" s="31"/>
      <c r="M29" s="33">
        <f t="shared" si="1"/>
        <v>0.06</v>
      </c>
      <c r="N29" s="32">
        <f t="shared" si="2"/>
        <v>0</v>
      </c>
      <c r="O29" s="32">
        <f t="shared" si="3"/>
        <v>0</v>
      </c>
      <c r="P29" s="6"/>
      <c r="Q29" s="29"/>
      <c r="R29" s="30"/>
      <c r="S29" s="31"/>
      <c r="T29" s="34"/>
      <c r="U29" s="30"/>
      <c r="V29" s="32">
        <f t="shared" si="4"/>
        <v>0</v>
      </c>
      <c r="W29" s="32">
        <f t="shared" si="5"/>
        <v>0</v>
      </c>
      <c r="X29" s="6"/>
      <c r="Y29" s="6"/>
      <c r="Z29" s="6"/>
    </row>
    <row r="30" spans="1:26" ht="13.2" x14ac:dyDescent="0.25">
      <c r="A30" s="29"/>
      <c r="B30" s="30"/>
      <c r="C30" s="30"/>
      <c r="D30" s="31"/>
      <c r="E30" s="30"/>
      <c r="F30" s="32">
        <f t="shared" si="6"/>
        <v>0</v>
      </c>
      <c r="G30" s="32">
        <f t="shared" si="0"/>
        <v>0</v>
      </c>
      <c r="H30" s="6"/>
      <c r="I30" s="29"/>
      <c r="J30" s="30"/>
      <c r="K30" s="42">
        <f t="shared" si="8"/>
        <v>0</v>
      </c>
      <c r="L30" s="31"/>
      <c r="M30" s="33">
        <f t="shared" si="1"/>
        <v>0.06</v>
      </c>
      <c r="N30" s="32">
        <f t="shared" si="2"/>
        <v>0</v>
      </c>
      <c r="O30" s="32">
        <f t="shared" si="3"/>
        <v>0</v>
      </c>
      <c r="P30" s="6"/>
      <c r="Q30" s="29"/>
      <c r="R30" s="30"/>
      <c r="S30" s="31"/>
      <c r="T30" s="34"/>
      <c r="U30" s="30"/>
      <c r="V30" s="32">
        <f t="shared" si="4"/>
        <v>0</v>
      </c>
      <c r="W30" s="32">
        <f t="shared" si="5"/>
        <v>0</v>
      </c>
      <c r="X30" s="6"/>
      <c r="Y30" s="6"/>
      <c r="Z30" s="6"/>
    </row>
    <row r="31" spans="1:26" ht="13.2" x14ac:dyDescent="0.25">
      <c r="A31" s="29"/>
      <c r="B31" s="30"/>
      <c r="C31" s="30"/>
      <c r="D31" s="31"/>
      <c r="E31" s="30"/>
      <c r="F31" s="32">
        <f t="shared" si="6"/>
        <v>0</v>
      </c>
      <c r="G31" s="32">
        <f t="shared" si="0"/>
        <v>0</v>
      </c>
      <c r="H31" s="6"/>
      <c r="I31" s="29"/>
      <c r="J31" s="30"/>
      <c r="K31" s="42">
        <f t="shared" si="8"/>
        <v>0</v>
      </c>
      <c r="L31" s="31"/>
      <c r="M31" s="33">
        <f t="shared" si="1"/>
        <v>0.06</v>
      </c>
      <c r="N31" s="32">
        <f t="shared" si="2"/>
        <v>0</v>
      </c>
      <c r="O31" s="32">
        <f t="shared" si="3"/>
        <v>0</v>
      </c>
      <c r="P31" s="6"/>
      <c r="Q31" s="29"/>
      <c r="R31" s="30"/>
      <c r="S31" s="31"/>
      <c r="T31" s="34"/>
      <c r="U31" s="30"/>
      <c r="V31" s="32">
        <f t="shared" si="4"/>
        <v>0</v>
      </c>
      <c r="W31" s="32">
        <f t="shared" si="5"/>
        <v>0</v>
      </c>
      <c r="X31" s="6"/>
      <c r="Y31" s="6"/>
      <c r="Z31" s="6"/>
    </row>
    <row r="32" spans="1:26" ht="13.2" x14ac:dyDescent="0.25">
      <c r="A32" s="29"/>
      <c r="B32" s="30"/>
      <c r="C32" s="30"/>
      <c r="D32" s="31"/>
      <c r="E32" s="30"/>
      <c r="F32" s="32">
        <f t="shared" si="6"/>
        <v>0</v>
      </c>
      <c r="G32" s="32">
        <f t="shared" si="0"/>
        <v>0</v>
      </c>
      <c r="H32" s="6"/>
      <c r="I32" s="29"/>
      <c r="J32" s="30"/>
      <c r="K32" s="42">
        <f t="shared" si="8"/>
        <v>0</v>
      </c>
      <c r="L32" s="31"/>
      <c r="M32" s="33">
        <f t="shared" si="1"/>
        <v>0.06</v>
      </c>
      <c r="N32" s="32">
        <f t="shared" si="2"/>
        <v>0</v>
      </c>
      <c r="O32" s="32">
        <f t="shared" si="3"/>
        <v>0</v>
      </c>
      <c r="P32" s="6"/>
      <c r="Q32" s="29"/>
      <c r="R32" s="30"/>
      <c r="S32" s="31"/>
      <c r="T32" s="34"/>
      <c r="U32" s="30"/>
      <c r="V32" s="32">
        <f t="shared" si="4"/>
        <v>0</v>
      </c>
      <c r="W32" s="32">
        <f t="shared" si="5"/>
        <v>0</v>
      </c>
      <c r="X32" s="6"/>
      <c r="Y32" s="6"/>
      <c r="Z32" s="6"/>
    </row>
    <row r="33" spans="1:26" ht="13.2" x14ac:dyDescent="0.25">
      <c r="A33" s="29"/>
      <c r="B33" s="30"/>
      <c r="C33" s="30"/>
      <c r="D33" s="31"/>
      <c r="E33" s="30"/>
      <c r="F33" s="32">
        <f t="shared" si="6"/>
        <v>0</v>
      </c>
      <c r="G33" s="32">
        <f t="shared" si="0"/>
        <v>0</v>
      </c>
      <c r="H33" s="6"/>
      <c r="I33" s="29"/>
      <c r="J33" s="30"/>
      <c r="K33" s="42">
        <f t="shared" si="8"/>
        <v>0</v>
      </c>
      <c r="L33" s="31"/>
      <c r="M33" s="33">
        <f t="shared" si="1"/>
        <v>0.06</v>
      </c>
      <c r="N33" s="32">
        <f t="shared" si="2"/>
        <v>0</v>
      </c>
      <c r="O33" s="32">
        <f t="shared" si="3"/>
        <v>0</v>
      </c>
      <c r="P33" s="6"/>
      <c r="Q33" s="29"/>
      <c r="R33" s="30"/>
      <c r="S33" s="31"/>
      <c r="T33" s="34"/>
      <c r="U33" s="30"/>
      <c r="V33" s="32">
        <f t="shared" si="4"/>
        <v>0</v>
      </c>
      <c r="W33" s="32">
        <f t="shared" si="5"/>
        <v>0</v>
      </c>
      <c r="X33" s="6"/>
      <c r="Y33" s="6"/>
      <c r="Z33" s="6"/>
    </row>
    <row r="34" spans="1:26" ht="13.2" x14ac:dyDescent="0.25">
      <c r="A34" s="29"/>
      <c r="B34" s="30"/>
      <c r="C34" s="30"/>
      <c r="D34" s="31"/>
      <c r="E34" s="30"/>
      <c r="F34" s="32">
        <f t="shared" si="6"/>
        <v>0</v>
      </c>
      <c r="G34" s="32">
        <f t="shared" si="0"/>
        <v>0</v>
      </c>
      <c r="H34" s="6"/>
      <c r="I34" s="29"/>
      <c r="J34" s="30"/>
      <c r="K34" s="42"/>
      <c r="L34" s="31"/>
      <c r="M34" s="33">
        <f t="shared" si="1"/>
        <v>0.06</v>
      </c>
      <c r="N34" s="32">
        <f t="shared" si="2"/>
        <v>0</v>
      </c>
      <c r="O34" s="32">
        <f t="shared" si="3"/>
        <v>0</v>
      </c>
      <c r="P34" s="6"/>
      <c r="Q34" s="29"/>
      <c r="R34" s="30"/>
      <c r="S34" s="31"/>
      <c r="T34" s="34"/>
      <c r="U34" s="30"/>
      <c r="V34" s="32">
        <f t="shared" si="4"/>
        <v>0</v>
      </c>
      <c r="W34" s="32">
        <f t="shared" si="5"/>
        <v>0</v>
      </c>
      <c r="X34" s="6"/>
      <c r="Y34" s="6"/>
      <c r="Z34" s="6"/>
    </row>
    <row r="35" spans="1:26" ht="13.2" x14ac:dyDescent="0.25">
      <c r="A35" s="35"/>
      <c r="B35" s="35"/>
      <c r="C35" s="35"/>
      <c r="D35" s="28">
        <f>SUM(D8:D34)</f>
        <v>500</v>
      </c>
      <c r="E35" s="35"/>
      <c r="F35" s="36">
        <f t="shared" ref="F35:G35" si="9">SUM(F8:F34)</f>
        <v>2500</v>
      </c>
      <c r="G35" s="36">
        <f t="shared" si="9"/>
        <v>25000</v>
      </c>
      <c r="H35" s="6"/>
      <c r="I35" s="35"/>
      <c r="J35" s="35"/>
      <c r="K35" s="28">
        <f>SUM(K8:K34)</f>
        <v>0</v>
      </c>
      <c r="L35" s="35"/>
      <c r="M35" s="35"/>
      <c r="N35" s="36">
        <f t="shared" ref="N35:O35" si="10">SUM(N8:N34)</f>
        <v>0</v>
      </c>
      <c r="O35" s="36">
        <f t="shared" si="10"/>
        <v>0</v>
      </c>
      <c r="P35" s="6"/>
      <c r="Q35" s="35"/>
      <c r="R35" s="35"/>
      <c r="S35" s="28">
        <f>SUM(S8:S34)</f>
        <v>0</v>
      </c>
      <c r="T35" s="35"/>
      <c r="U35" s="36">
        <f t="shared" ref="U35:W35" si="11">SUM(U8:U34)</f>
        <v>0</v>
      </c>
      <c r="V35" s="36">
        <f t="shared" si="11"/>
        <v>0</v>
      </c>
      <c r="W35" s="36">
        <f t="shared" si="11"/>
        <v>0</v>
      </c>
      <c r="X35" s="6"/>
      <c r="Y35" s="6"/>
      <c r="Z35" s="6"/>
    </row>
    <row r="36" spans="1:26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8" x14ac:dyDescent="0.25">
      <c r="A37" s="37" t="s">
        <v>36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3.2" x14ac:dyDescent="0.25">
      <c r="A38" s="38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2" x14ac:dyDescent="0.25">
      <c r="A39" s="38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2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2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2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2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2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2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2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2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2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2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2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2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2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2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2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2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2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2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2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2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2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2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2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2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2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2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2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2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2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2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2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2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2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2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2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2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2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2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2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2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2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2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2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2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2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2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2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2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2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2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2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2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2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2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2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2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2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2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2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2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3.2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3.2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3.2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3.2" x14ac:dyDescent="0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3.2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3.2" x14ac:dyDescent="0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3.2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3.2" x14ac:dyDescent="0.2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3.2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3.2" x14ac:dyDescent="0.2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3.2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3.2" x14ac:dyDescent="0.2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3.2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3.2" x14ac:dyDescent="0.2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3.2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3.2" x14ac:dyDescent="0.2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3.2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3.2" x14ac:dyDescent="0.2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3.2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3.2" x14ac:dyDescent="0.2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3.2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3.2" x14ac:dyDescent="0.2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3.2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3.2" x14ac:dyDescent="0.2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3.2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3.2" x14ac:dyDescent="0.2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3.2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3.2" x14ac:dyDescent="0.2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</sheetData>
  <conditionalFormatting sqref="J2">
    <cfRule type="cellIs" dxfId="4" priority="1" operator="between">
      <formula>1.41</formula>
      <formula>1.49</formula>
    </cfRule>
    <cfRule type="cellIs" dxfId="3" priority="2" operator="lessThan">
      <formula>1.41</formula>
    </cfRule>
    <cfRule type="cellIs" dxfId="2" priority="3" operator="greaterThan">
      <formula>1.49</formula>
    </cfRule>
  </conditionalFormatting>
  <dataValidations disablePrompts="1" count="1">
    <dataValidation type="list" allowBlank="1" sqref="B8:B34" xr:uid="{00000000-0002-0000-0000-000000000000}">
      <formula1>$Z$1:$Z$3</formula1>
    </dataValidation>
  </dataValidations>
  <pageMargins left="0.7" right="0.7" top="0.75" bottom="0.75" header="0.3" footer="0.3"/>
  <pageSetup paperSize="9" orientation="portrait" horizontalDpi="200" verticalDpi="200" r:id="rId1"/>
  <headerFooter>
    <oddHeader>&amp;L&amp;"Calibri"&amp;10&amp;K000000General Information&amp;1#</oddHeader>
  </headerFooter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7A9A-2C82-4C6E-8A67-53A68DDF9EAD}">
  <dimension ref="A1:K990"/>
  <sheetViews>
    <sheetView workbookViewId="0">
      <selection activeCell="C6" sqref="C6"/>
    </sheetView>
  </sheetViews>
  <sheetFormatPr baseColWidth="10" defaultColWidth="9.109375" defaultRowHeight="13.2" x14ac:dyDescent="0.25"/>
  <cols>
    <col min="1" max="1" width="14.6640625" bestFit="1" customWidth="1"/>
    <col min="2" max="2" width="11.109375" bestFit="1" customWidth="1"/>
    <col min="3" max="3" width="13.88671875" bestFit="1" customWidth="1"/>
    <col min="4" max="5" width="12.44140625" bestFit="1" customWidth="1"/>
    <col min="6" max="7" width="11.109375" bestFit="1" customWidth="1"/>
    <col min="8" max="8" width="14.88671875" bestFit="1" customWidth="1"/>
    <col min="9" max="9" width="13.88671875" bestFit="1" customWidth="1"/>
    <col min="10" max="10" width="12.44140625" bestFit="1" customWidth="1"/>
    <col min="11" max="110" width="11.109375" bestFit="1" customWidth="1"/>
  </cols>
  <sheetData>
    <row r="1" spans="1:11" ht="13.8" thickBot="1" x14ac:dyDescent="0.3">
      <c r="B1" s="65" t="s">
        <v>25</v>
      </c>
      <c r="C1" s="66" t="s">
        <v>214</v>
      </c>
      <c r="D1" s="66" t="s">
        <v>215</v>
      </c>
      <c r="E1" s="66" t="s">
        <v>216</v>
      </c>
      <c r="F1" s="67" t="s">
        <v>217</v>
      </c>
      <c r="H1" s="88" t="s">
        <v>303</v>
      </c>
    </row>
    <row r="2" spans="1:11" ht="13.8" thickBot="1" x14ac:dyDescent="0.3">
      <c r="A2" s="69" t="s">
        <v>213</v>
      </c>
      <c r="B2" s="68">
        <v>0</v>
      </c>
      <c r="C2" s="58">
        <f>C6*B2</f>
        <v>0</v>
      </c>
      <c r="D2" s="72">
        <v>0.05</v>
      </c>
      <c r="E2" s="63">
        <f>C2*(B4-D2)</f>
        <v>0</v>
      </c>
      <c r="F2" s="64">
        <f>E2/C6+B4</f>
        <v>0.12</v>
      </c>
      <c r="H2" s="90" t="s">
        <v>304</v>
      </c>
      <c r="I2" s="89">
        <v>3071.88</v>
      </c>
    </row>
    <row r="3" spans="1:11" ht="13.8" thickBot="1" x14ac:dyDescent="0.3">
      <c r="A3" s="70" t="s">
        <v>69</v>
      </c>
      <c r="B3" s="62">
        <v>0</v>
      </c>
    </row>
    <row r="4" spans="1:11" ht="13.8" thickBot="1" x14ac:dyDescent="0.3">
      <c r="A4" s="71" t="s">
        <v>212</v>
      </c>
      <c r="B4" s="108">
        <v>0.12</v>
      </c>
    </row>
    <row r="5" spans="1:11" ht="13.8" thickBot="1" x14ac:dyDescent="0.3">
      <c r="D5" s="65" t="s">
        <v>42</v>
      </c>
      <c r="E5" s="66" t="s">
        <v>43</v>
      </c>
      <c r="F5" s="67" t="s">
        <v>44</v>
      </c>
      <c r="H5" s="65" t="s">
        <v>207</v>
      </c>
      <c r="I5" s="66" t="s">
        <v>42</v>
      </c>
      <c r="J5" s="66" t="s">
        <v>43</v>
      </c>
      <c r="K5" s="67" t="s">
        <v>44</v>
      </c>
    </row>
    <row r="6" spans="1:11" ht="13.8" thickBot="1" x14ac:dyDescent="0.3">
      <c r="B6" t="s">
        <v>3</v>
      </c>
      <c r="C6" s="61">
        <v>110000</v>
      </c>
      <c r="D6" s="73">
        <f>C6*$F$2</f>
        <v>13200</v>
      </c>
      <c r="E6" s="74">
        <f t="shared" ref="E6:E69" si="0">D6/12</f>
        <v>1100</v>
      </c>
      <c r="F6" s="75">
        <f t="shared" ref="F6:F69" si="1">E6/4</f>
        <v>275</v>
      </c>
      <c r="H6" s="57">
        <f>C55</f>
        <v>124316.09752017872</v>
      </c>
      <c r="I6" s="58">
        <f t="shared" ref="I6:K6" si="2">D55</f>
        <v>14917.931702421447</v>
      </c>
      <c r="J6" s="58">
        <f t="shared" si="2"/>
        <v>1243.1609752017873</v>
      </c>
      <c r="K6" s="59">
        <f t="shared" si="2"/>
        <v>310.79024380044683</v>
      </c>
    </row>
    <row r="7" spans="1:11" ht="12.9" customHeight="1" thickBot="1" x14ac:dyDescent="0.3">
      <c r="A7" s="169" t="s">
        <v>39</v>
      </c>
      <c r="B7" s="45">
        <v>1</v>
      </c>
      <c r="C7" s="43">
        <f>C6+F6</f>
        <v>110275</v>
      </c>
      <c r="D7" s="43">
        <f t="shared" ref="D7:D70" si="3">C7*$F$2</f>
        <v>13233</v>
      </c>
      <c r="E7" s="44">
        <f t="shared" si="0"/>
        <v>1102.75</v>
      </c>
      <c r="F7" s="44">
        <f t="shared" si="1"/>
        <v>275.6875</v>
      </c>
    </row>
    <row r="8" spans="1:11" ht="12.9" customHeight="1" thickBot="1" x14ac:dyDescent="0.3">
      <c r="A8" s="170"/>
      <c r="B8" s="45">
        <v>2</v>
      </c>
      <c r="C8" s="43">
        <f>C7+F7</f>
        <v>110550.6875</v>
      </c>
      <c r="D8" s="43">
        <f t="shared" si="3"/>
        <v>13266.082499999999</v>
      </c>
      <c r="E8" s="44">
        <f t="shared" si="0"/>
        <v>1105.5068749999998</v>
      </c>
      <c r="F8" s="44">
        <f t="shared" si="1"/>
        <v>276.37671874999995</v>
      </c>
      <c r="H8" s="65" t="s">
        <v>208</v>
      </c>
      <c r="I8" s="66" t="s">
        <v>42</v>
      </c>
      <c r="J8" s="66" t="s">
        <v>43</v>
      </c>
      <c r="K8" s="67" t="s">
        <v>44</v>
      </c>
    </row>
    <row r="9" spans="1:11" ht="12.9" customHeight="1" thickBot="1" x14ac:dyDescent="0.3">
      <c r="A9" s="170"/>
      <c r="B9" s="45">
        <v>3</v>
      </c>
      <c r="C9" s="43">
        <f>C8+F8</f>
        <v>110827.06421875001</v>
      </c>
      <c r="D9" s="43">
        <f t="shared" si="3"/>
        <v>13299.24770625</v>
      </c>
      <c r="E9" s="44">
        <f t="shared" si="0"/>
        <v>1108.2706421875</v>
      </c>
      <c r="F9" s="44">
        <f t="shared" si="1"/>
        <v>277.067660546875</v>
      </c>
      <c r="H9" s="57">
        <f>C247</f>
        <v>200783.75710852537</v>
      </c>
      <c r="I9" s="58">
        <f t="shared" ref="I9:K9" si="4">D247</f>
        <v>24094.050853023044</v>
      </c>
      <c r="J9" s="58">
        <f t="shared" si="4"/>
        <v>2007.8375710852536</v>
      </c>
      <c r="K9" s="59">
        <f t="shared" si="4"/>
        <v>501.95939277131339</v>
      </c>
    </row>
    <row r="10" spans="1:11" ht="12.9" customHeight="1" thickBot="1" x14ac:dyDescent="0.3">
      <c r="A10" s="171"/>
      <c r="B10" s="45">
        <v>4</v>
      </c>
      <c r="C10" s="43">
        <f>C9+F9</f>
        <v>111104.13187929688</v>
      </c>
      <c r="D10" s="43">
        <f t="shared" si="3"/>
        <v>13332.495825515625</v>
      </c>
      <c r="E10" s="44">
        <f t="shared" si="0"/>
        <v>1111.0413187929687</v>
      </c>
      <c r="F10" s="44">
        <f t="shared" si="1"/>
        <v>277.76032969824217</v>
      </c>
    </row>
    <row r="11" spans="1:11" ht="13.8" thickBot="1" x14ac:dyDescent="0.3">
      <c r="A11" s="172" t="s">
        <v>40</v>
      </c>
      <c r="B11" s="45">
        <v>1</v>
      </c>
      <c r="C11" s="43">
        <f t="shared" ref="C11:C74" si="5">IF(B11=1,C10+F10+$B$3,C10+F10)</f>
        <v>111381.89220899512</v>
      </c>
      <c r="D11" s="43">
        <f t="shared" si="3"/>
        <v>13365.827065079415</v>
      </c>
      <c r="E11" s="44">
        <f t="shared" si="0"/>
        <v>1113.8189220899512</v>
      </c>
      <c r="F11" s="44">
        <f t="shared" si="1"/>
        <v>278.45473052248781</v>
      </c>
      <c r="H11" s="65" t="s">
        <v>206</v>
      </c>
      <c r="I11" s="66" t="s">
        <v>42</v>
      </c>
      <c r="J11" s="66" t="s">
        <v>43</v>
      </c>
      <c r="K11" s="67" t="s">
        <v>44</v>
      </c>
    </row>
    <row r="12" spans="1:11" ht="13.8" thickBot="1" x14ac:dyDescent="0.3">
      <c r="A12" s="169"/>
      <c r="B12" s="45">
        <v>2</v>
      </c>
      <c r="C12" s="43">
        <f t="shared" si="5"/>
        <v>111660.34693951761</v>
      </c>
      <c r="D12" s="43">
        <f t="shared" si="3"/>
        <v>13399.241632742112</v>
      </c>
      <c r="E12" s="44">
        <f t="shared" si="0"/>
        <v>1116.603469395176</v>
      </c>
      <c r="F12" s="44">
        <f t="shared" si="1"/>
        <v>279.15086734879401</v>
      </c>
      <c r="H12" s="57">
        <f>C487</f>
        <v>365578.02873375919</v>
      </c>
      <c r="I12" s="58">
        <f t="shared" ref="I12:K12" si="6">D487</f>
        <v>43869.363448051103</v>
      </c>
      <c r="J12" s="58">
        <f t="shared" si="6"/>
        <v>3655.7802873375917</v>
      </c>
      <c r="K12" s="59">
        <f t="shared" si="6"/>
        <v>913.94507183439794</v>
      </c>
    </row>
    <row r="13" spans="1:11" ht="13.8" thickBot="1" x14ac:dyDescent="0.3">
      <c r="A13" s="169"/>
      <c r="B13" s="45">
        <v>3</v>
      </c>
      <c r="C13" s="43">
        <f t="shared" si="5"/>
        <v>111939.49780686641</v>
      </c>
      <c r="D13" s="43">
        <f t="shared" si="3"/>
        <v>13432.739736823969</v>
      </c>
      <c r="E13" s="44">
        <f t="shared" si="0"/>
        <v>1119.3949780686642</v>
      </c>
      <c r="F13" s="44">
        <f t="shared" si="1"/>
        <v>279.84874451716604</v>
      </c>
    </row>
    <row r="14" spans="1:11" ht="13.8" thickBot="1" x14ac:dyDescent="0.3">
      <c r="A14" s="173"/>
      <c r="B14" s="45">
        <v>4</v>
      </c>
      <c r="C14" s="43">
        <f t="shared" si="5"/>
        <v>112219.34655138357</v>
      </c>
      <c r="D14" s="43">
        <f t="shared" si="3"/>
        <v>13466.321586166028</v>
      </c>
      <c r="E14" s="44">
        <f t="shared" si="0"/>
        <v>1122.1934655138357</v>
      </c>
      <c r="F14" s="44">
        <f t="shared" si="1"/>
        <v>280.54836637845892</v>
      </c>
      <c r="H14" s="65" t="s">
        <v>209</v>
      </c>
      <c r="I14" s="66" t="s">
        <v>42</v>
      </c>
      <c r="J14" s="66" t="s">
        <v>43</v>
      </c>
      <c r="K14" s="67" t="s">
        <v>44</v>
      </c>
    </row>
    <row r="15" spans="1:11" ht="13.8" thickBot="1" x14ac:dyDescent="0.3">
      <c r="A15" s="172" t="s">
        <v>46</v>
      </c>
      <c r="B15" s="45">
        <v>1</v>
      </c>
      <c r="C15" s="43">
        <f t="shared" si="5"/>
        <v>112499.89491776202</v>
      </c>
      <c r="D15" s="43">
        <f t="shared" si="3"/>
        <v>13499.987390131442</v>
      </c>
      <c r="E15" s="44">
        <f t="shared" si="0"/>
        <v>1124.9989491776203</v>
      </c>
      <c r="F15" s="44">
        <f t="shared" si="1"/>
        <v>281.24973729440507</v>
      </c>
      <c r="H15" s="57">
        <f>C979</f>
        <v>1248808.0295807051</v>
      </c>
      <c r="I15" s="58">
        <f t="shared" ref="I15:K15" si="7">D979</f>
        <v>149856.96354968462</v>
      </c>
      <c r="J15" s="58">
        <f t="shared" si="7"/>
        <v>12488.080295807051</v>
      </c>
      <c r="K15" s="59">
        <f t="shared" si="7"/>
        <v>3122.0200739517627</v>
      </c>
    </row>
    <row r="16" spans="1:11" ht="13.8" thickBot="1" x14ac:dyDescent="0.3">
      <c r="A16" s="169"/>
      <c r="B16" s="45">
        <v>2</v>
      </c>
      <c r="C16" s="43">
        <f t="shared" si="5"/>
        <v>112781.14465505643</v>
      </c>
      <c r="D16" s="43">
        <f t="shared" si="3"/>
        <v>13533.737358606772</v>
      </c>
      <c r="E16" s="44">
        <f t="shared" si="0"/>
        <v>1127.8114465505644</v>
      </c>
      <c r="F16" s="44">
        <f t="shared" si="1"/>
        <v>281.95286163764109</v>
      </c>
    </row>
    <row r="17" spans="1:6" ht="13.8" thickBot="1" x14ac:dyDescent="0.3">
      <c r="A17" s="169"/>
      <c r="B17" s="45">
        <v>3</v>
      </c>
      <c r="C17" s="43">
        <f t="shared" si="5"/>
        <v>113063.09751669408</v>
      </c>
      <c r="D17" s="43">
        <f t="shared" si="3"/>
        <v>13567.571702003288</v>
      </c>
      <c r="E17" s="44">
        <f t="shared" si="0"/>
        <v>1130.6309751669407</v>
      </c>
      <c r="F17" s="44">
        <f t="shared" si="1"/>
        <v>282.65774379173519</v>
      </c>
    </row>
    <row r="18" spans="1:6" ht="13.8" thickBot="1" x14ac:dyDescent="0.3">
      <c r="A18" s="174"/>
      <c r="B18" s="48">
        <v>4</v>
      </c>
      <c r="C18" s="49">
        <f t="shared" si="5"/>
        <v>113345.75526048581</v>
      </c>
      <c r="D18" s="43">
        <f t="shared" si="3"/>
        <v>13601.490631258297</v>
      </c>
      <c r="E18" s="50">
        <f t="shared" si="0"/>
        <v>1133.4575526048582</v>
      </c>
      <c r="F18" s="50">
        <f t="shared" si="1"/>
        <v>283.36438815121454</v>
      </c>
    </row>
    <row r="19" spans="1:6" ht="14.4" thickTop="1" thickBot="1" x14ac:dyDescent="0.3">
      <c r="A19" s="175" t="s">
        <v>47</v>
      </c>
      <c r="B19" s="47">
        <v>1</v>
      </c>
      <c r="C19" s="43">
        <f t="shared" si="5"/>
        <v>113629.11964863702</v>
      </c>
      <c r="D19" s="43">
        <f t="shared" si="3"/>
        <v>13635.494357836442</v>
      </c>
      <c r="E19" s="44">
        <f t="shared" si="0"/>
        <v>1136.2911964863702</v>
      </c>
      <c r="F19" s="44">
        <f t="shared" si="1"/>
        <v>284.07279912159254</v>
      </c>
    </row>
    <row r="20" spans="1:6" ht="13.8" thickBot="1" x14ac:dyDescent="0.3">
      <c r="A20" s="169"/>
      <c r="B20" s="45">
        <v>2</v>
      </c>
      <c r="C20" s="43">
        <f t="shared" si="5"/>
        <v>113913.19244775861</v>
      </c>
      <c r="D20" s="43">
        <f t="shared" si="3"/>
        <v>13669.583093731033</v>
      </c>
      <c r="E20" s="44">
        <f t="shared" si="0"/>
        <v>1139.1319244775862</v>
      </c>
      <c r="F20" s="44">
        <f t="shared" si="1"/>
        <v>284.78298111939654</v>
      </c>
    </row>
    <row r="21" spans="1:6" ht="13.8" thickBot="1" x14ac:dyDescent="0.3">
      <c r="A21" s="169"/>
      <c r="B21" s="45">
        <v>3</v>
      </c>
      <c r="C21" s="43">
        <f t="shared" si="5"/>
        <v>114197.97542887801</v>
      </c>
      <c r="D21" s="43">
        <f t="shared" si="3"/>
        <v>13703.75705146536</v>
      </c>
      <c r="E21" s="44">
        <f t="shared" si="0"/>
        <v>1141.97975428878</v>
      </c>
      <c r="F21" s="44">
        <f t="shared" si="1"/>
        <v>285.494938572195</v>
      </c>
    </row>
    <row r="22" spans="1:6" ht="13.8" thickBot="1" x14ac:dyDescent="0.3">
      <c r="A22" s="173"/>
      <c r="B22" s="45">
        <v>4</v>
      </c>
      <c r="C22" s="43">
        <f t="shared" si="5"/>
        <v>114483.47036745021</v>
      </c>
      <c r="D22" s="43">
        <f t="shared" si="3"/>
        <v>13738.016444094024</v>
      </c>
      <c r="E22" s="44">
        <f t="shared" si="0"/>
        <v>1144.834703674502</v>
      </c>
      <c r="F22" s="44">
        <f t="shared" si="1"/>
        <v>286.20867591862549</v>
      </c>
    </row>
    <row r="23" spans="1:6" ht="13.8" thickBot="1" x14ac:dyDescent="0.3">
      <c r="A23" s="172" t="s">
        <v>48</v>
      </c>
      <c r="B23" s="45">
        <v>1</v>
      </c>
      <c r="C23" s="43">
        <f t="shared" si="5"/>
        <v>114769.67904336883</v>
      </c>
      <c r="D23" s="43">
        <f t="shared" si="3"/>
        <v>13772.361485204259</v>
      </c>
      <c r="E23" s="44">
        <f t="shared" si="0"/>
        <v>1147.6967904336882</v>
      </c>
      <c r="F23" s="44">
        <f t="shared" si="1"/>
        <v>286.92419760842205</v>
      </c>
    </row>
    <row r="24" spans="1:6" ht="13.8" thickBot="1" x14ac:dyDescent="0.3">
      <c r="A24" s="169"/>
      <c r="B24" s="45">
        <v>2</v>
      </c>
      <c r="C24" s="43">
        <f t="shared" si="5"/>
        <v>115056.60324097725</v>
      </c>
      <c r="D24" s="43">
        <f t="shared" si="3"/>
        <v>13806.792388917269</v>
      </c>
      <c r="E24" s="44">
        <f t="shared" si="0"/>
        <v>1150.5660324097723</v>
      </c>
      <c r="F24" s="44">
        <f t="shared" si="1"/>
        <v>287.64150810244308</v>
      </c>
    </row>
    <row r="25" spans="1:6" ht="13.8" thickBot="1" x14ac:dyDescent="0.3">
      <c r="A25" s="169"/>
      <c r="B25" s="45">
        <v>3</v>
      </c>
      <c r="C25" s="43">
        <f t="shared" si="5"/>
        <v>115344.24474907969</v>
      </c>
      <c r="D25" s="43">
        <f t="shared" si="3"/>
        <v>13841.309369889563</v>
      </c>
      <c r="E25" s="44">
        <f t="shared" si="0"/>
        <v>1153.4424474907969</v>
      </c>
      <c r="F25" s="44">
        <f t="shared" si="1"/>
        <v>288.36061187269922</v>
      </c>
    </row>
    <row r="26" spans="1:6" ht="13.8" thickBot="1" x14ac:dyDescent="0.3">
      <c r="A26" s="173"/>
      <c r="B26" s="45">
        <v>4</v>
      </c>
      <c r="C26" s="43">
        <f t="shared" si="5"/>
        <v>115632.6053609524</v>
      </c>
      <c r="D26" s="43">
        <f t="shared" si="3"/>
        <v>13875.912643314286</v>
      </c>
      <c r="E26" s="44">
        <f t="shared" si="0"/>
        <v>1156.3260536095238</v>
      </c>
      <c r="F26" s="44">
        <f t="shared" si="1"/>
        <v>289.08151340238095</v>
      </c>
    </row>
    <row r="27" spans="1:6" ht="13.8" thickBot="1" x14ac:dyDescent="0.3">
      <c r="A27" s="172" t="s">
        <v>49</v>
      </c>
      <c r="B27" s="45">
        <v>1</v>
      </c>
      <c r="C27" s="43">
        <f t="shared" si="5"/>
        <v>115921.68687435478</v>
      </c>
      <c r="D27" s="43">
        <f t="shared" si="3"/>
        <v>13910.602424922574</v>
      </c>
      <c r="E27" s="44">
        <f t="shared" si="0"/>
        <v>1159.2168687435478</v>
      </c>
      <c r="F27" s="44">
        <f t="shared" si="1"/>
        <v>289.80421718588696</v>
      </c>
    </row>
    <row r="28" spans="1:6" ht="13.8" thickBot="1" x14ac:dyDescent="0.3">
      <c r="A28" s="169"/>
      <c r="B28" s="45">
        <v>2</v>
      </c>
      <c r="C28" s="43">
        <f t="shared" si="5"/>
        <v>116211.49109154067</v>
      </c>
      <c r="D28" s="43">
        <f t="shared" si="3"/>
        <v>13945.37893098488</v>
      </c>
      <c r="E28" s="44">
        <f t="shared" si="0"/>
        <v>1162.1149109154067</v>
      </c>
      <c r="F28" s="44">
        <f t="shared" si="1"/>
        <v>290.52872772885166</v>
      </c>
    </row>
    <row r="29" spans="1:6" ht="13.8" thickBot="1" x14ac:dyDescent="0.3">
      <c r="A29" s="169"/>
      <c r="B29" s="45">
        <v>3</v>
      </c>
      <c r="C29" s="43">
        <f t="shared" si="5"/>
        <v>116502.01981926951</v>
      </c>
      <c r="D29" s="43">
        <f t="shared" si="3"/>
        <v>13980.242378312341</v>
      </c>
      <c r="E29" s="44">
        <f t="shared" si="0"/>
        <v>1165.020198192695</v>
      </c>
      <c r="F29" s="44">
        <f t="shared" si="1"/>
        <v>291.25504954817376</v>
      </c>
    </row>
    <row r="30" spans="1:6" ht="13.8" thickBot="1" x14ac:dyDescent="0.3">
      <c r="A30" s="173"/>
      <c r="B30" s="45">
        <v>4</v>
      </c>
      <c r="C30" s="43">
        <f t="shared" si="5"/>
        <v>116793.27486881768</v>
      </c>
      <c r="D30" s="43">
        <f t="shared" si="3"/>
        <v>14015.192984258121</v>
      </c>
      <c r="E30" s="44">
        <f t="shared" si="0"/>
        <v>1167.9327486881768</v>
      </c>
      <c r="F30" s="44">
        <f t="shared" si="1"/>
        <v>291.98318717204421</v>
      </c>
    </row>
    <row r="31" spans="1:6" ht="13.8" thickBot="1" x14ac:dyDescent="0.3">
      <c r="A31" s="172" t="s">
        <v>50</v>
      </c>
      <c r="B31" s="45">
        <v>1</v>
      </c>
      <c r="C31" s="43">
        <f t="shared" si="5"/>
        <v>117085.25805598972</v>
      </c>
      <c r="D31" s="43">
        <f t="shared" si="3"/>
        <v>14050.230966718766</v>
      </c>
      <c r="E31" s="44">
        <f t="shared" si="0"/>
        <v>1170.8525805598972</v>
      </c>
      <c r="F31" s="44">
        <f t="shared" si="1"/>
        <v>292.7131451399743</v>
      </c>
    </row>
    <row r="32" spans="1:6" ht="13.8" thickBot="1" x14ac:dyDescent="0.3">
      <c r="A32" s="169"/>
      <c r="B32" s="45">
        <v>2</v>
      </c>
      <c r="C32" s="43">
        <f t="shared" si="5"/>
        <v>117377.97120112969</v>
      </c>
      <c r="D32" s="43">
        <f t="shared" si="3"/>
        <v>14085.356544135562</v>
      </c>
      <c r="E32" s="44">
        <f t="shared" si="0"/>
        <v>1173.7797120112969</v>
      </c>
      <c r="F32" s="44">
        <f t="shared" si="1"/>
        <v>293.44492800282421</v>
      </c>
    </row>
    <row r="33" spans="1:6" ht="13.8" thickBot="1" x14ac:dyDescent="0.3">
      <c r="A33" s="169"/>
      <c r="B33" s="45">
        <v>3</v>
      </c>
      <c r="C33" s="43">
        <f t="shared" si="5"/>
        <v>117671.41612913251</v>
      </c>
      <c r="D33" s="43">
        <f t="shared" si="3"/>
        <v>14120.569935495902</v>
      </c>
      <c r="E33" s="44">
        <f t="shared" si="0"/>
        <v>1176.7141612913251</v>
      </c>
      <c r="F33" s="44">
        <f t="shared" si="1"/>
        <v>294.17854032283128</v>
      </c>
    </row>
    <row r="34" spans="1:6" ht="13.8" thickBot="1" x14ac:dyDescent="0.3">
      <c r="A34" s="173"/>
      <c r="B34" s="45">
        <v>4</v>
      </c>
      <c r="C34" s="43">
        <f t="shared" si="5"/>
        <v>117965.59466945534</v>
      </c>
      <c r="D34" s="43">
        <f t="shared" si="3"/>
        <v>14155.87136033464</v>
      </c>
      <c r="E34" s="44">
        <f t="shared" si="0"/>
        <v>1179.6559466945534</v>
      </c>
      <c r="F34" s="44">
        <f t="shared" si="1"/>
        <v>294.91398667363836</v>
      </c>
    </row>
    <row r="35" spans="1:6" ht="13.8" thickBot="1" x14ac:dyDescent="0.3">
      <c r="A35" s="172" t="s">
        <v>51</v>
      </c>
      <c r="B35" s="45">
        <v>1</v>
      </c>
      <c r="C35" s="43">
        <f t="shared" si="5"/>
        <v>118260.50865612898</v>
      </c>
      <c r="D35" s="43">
        <f t="shared" si="3"/>
        <v>14191.261038735476</v>
      </c>
      <c r="E35" s="44">
        <f t="shared" si="0"/>
        <v>1182.6050865612897</v>
      </c>
      <c r="F35" s="44">
        <f t="shared" si="1"/>
        <v>295.65127164032242</v>
      </c>
    </row>
    <row r="36" spans="1:6" ht="13.8" thickBot="1" x14ac:dyDescent="0.3">
      <c r="A36" s="169"/>
      <c r="B36" s="45">
        <v>2</v>
      </c>
      <c r="C36" s="43">
        <f t="shared" si="5"/>
        <v>118556.1599277693</v>
      </c>
      <c r="D36" s="43">
        <f t="shared" si="3"/>
        <v>14226.739191332315</v>
      </c>
      <c r="E36" s="44">
        <f t="shared" si="0"/>
        <v>1185.5615992776929</v>
      </c>
      <c r="F36" s="44">
        <f t="shared" si="1"/>
        <v>296.39039981942324</v>
      </c>
    </row>
    <row r="37" spans="1:6" ht="13.8" thickBot="1" x14ac:dyDescent="0.3">
      <c r="A37" s="169"/>
      <c r="B37" s="45">
        <v>3</v>
      </c>
      <c r="C37" s="43">
        <f t="shared" si="5"/>
        <v>118852.55032758873</v>
      </c>
      <c r="D37" s="43">
        <f t="shared" si="3"/>
        <v>14262.306039310648</v>
      </c>
      <c r="E37" s="44">
        <f t="shared" si="0"/>
        <v>1188.5255032758873</v>
      </c>
      <c r="F37" s="44">
        <f t="shared" si="1"/>
        <v>297.13137581897183</v>
      </c>
    </row>
    <row r="38" spans="1:6" ht="13.8" thickBot="1" x14ac:dyDescent="0.3">
      <c r="A38" s="173"/>
      <c r="B38" s="45">
        <v>4</v>
      </c>
      <c r="C38" s="43">
        <f t="shared" si="5"/>
        <v>119149.68170340771</v>
      </c>
      <c r="D38" s="43">
        <f t="shared" si="3"/>
        <v>14297.961804408924</v>
      </c>
      <c r="E38" s="44">
        <f t="shared" si="0"/>
        <v>1191.4968170340769</v>
      </c>
      <c r="F38" s="44">
        <f t="shared" si="1"/>
        <v>297.87420425851923</v>
      </c>
    </row>
    <row r="39" spans="1:6" ht="13.8" thickBot="1" x14ac:dyDescent="0.3">
      <c r="A39" s="172" t="s">
        <v>52</v>
      </c>
      <c r="B39" s="45">
        <v>1</v>
      </c>
      <c r="C39" s="43">
        <f t="shared" si="5"/>
        <v>119447.55590766623</v>
      </c>
      <c r="D39" s="43">
        <f t="shared" si="3"/>
        <v>14333.706708919948</v>
      </c>
      <c r="E39" s="44">
        <f t="shared" si="0"/>
        <v>1194.4755590766624</v>
      </c>
      <c r="F39" s="44">
        <f t="shared" si="1"/>
        <v>298.61888976916561</v>
      </c>
    </row>
    <row r="40" spans="1:6" ht="13.8" thickBot="1" x14ac:dyDescent="0.3">
      <c r="A40" s="169"/>
      <c r="B40" s="45">
        <v>2</v>
      </c>
      <c r="C40" s="43">
        <f t="shared" si="5"/>
        <v>119746.17479743539</v>
      </c>
      <c r="D40" s="43">
        <f t="shared" si="3"/>
        <v>14369.540975692247</v>
      </c>
      <c r="E40" s="44">
        <f t="shared" si="0"/>
        <v>1197.461747974354</v>
      </c>
      <c r="F40" s="44">
        <f t="shared" si="1"/>
        <v>299.3654369935885</v>
      </c>
    </row>
    <row r="41" spans="1:6" ht="13.8" thickBot="1" x14ac:dyDescent="0.3">
      <c r="A41" s="169"/>
      <c r="B41" s="45">
        <v>3</v>
      </c>
      <c r="C41" s="43">
        <f t="shared" si="5"/>
        <v>120045.54023442898</v>
      </c>
      <c r="D41" s="43">
        <f t="shared" si="3"/>
        <v>14405.464828131477</v>
      </c>
      <c r="E41" s="44">
        <f t="shared" si="0"/>
        <v>1200.4554023442897</v>
      </c>
      <c r="F41" s="44">
        <f t="shared" si="1"/>
        <v>300.11385058607243</v>
      </c>
    </row>
    <row r="42" spans="1:6" ht="13.8" thickBot="1" x14ac:dyDescent="0.3">
      <c r="A42" s="173"/>
      <c r="B42" s="45">
        <v>4</v>
      </c>
      <c r="C42" s="43">
        <f t="shared" si="5"/>
        <v>120345.65408501505</v>
      </c>
      <c r="D42" s="43">
        <f t="shared" si="3"/>
        <v>14441.478490201805</v>
      </c>
      <c r="E42" s="44">
        <f t="shared" si="0"/>
        <v>1203.4565408501505</v>
      </c>
      <c r="F42" s="44">
        <f t="shared" si="1"/>
        <v>300.86413521253763</v>
      </c>
    </row>
    <row r="43" spans="1:6" ht="13.8" thickBot="1" x14ac:dyDescent="0.3">
      <c r="A43" s="172" t="s">
        <v>53</v>
      </c>
      <c r="B43" s="45">
        <v>1</v>
      </c>
      <c r="C43" s="43">
        <f t="shared" si="5"/>
        <v>120646.51822022759</v>
      </c>
      <c r="D43" s="43">
        <f t="shared" si="3"/>
        <v>14477.582186427311</v>
      </c>
      <c r="E43" s="44">
        <f t="shared" si="0"/>
        <v>1206.4651822022759</v>
      </c>
      <c r="F43" s="44">
        <f t="shared" si="1"/>
        <v>301.61629555056896</v>
      </c>
    </row>
    <row r="44" spans="1:6" ht="13.8" thickBot="1" x14ac:dyDescent="0.3">
      <c r="A44" s="169"/>
      <c r="B44" s="45">
        <v>2</v>
      </c>
      <c r="C44" s="43">
        <f t="shared" si="5"/>
        <v>120948.13451577816</v>
      </c>
      <c r="D44" s="43">
        <f t="shared" si="3"/>
        <v>14513.776141893379</v>
      </c>
      <c r="E44" s="44">
        <f t="shared" si="0"/>
        <v>1209.4813451577816</v>
      </c>
      <c r="F44" s="44">
        <f t="shared" si="1"/>
        <v>302.37033628944539</v>
      </c>
    </row>
    <row r="45" spans="1:6" ht="13.8" thickBot="1" x14ac:dyDescent="0.3">
      <c r="A45" s="169"/>
      <c r="B45" s="45">
        <v>3</v>
      </c>
      <c r="C45" s="43">
        <f t="shared" si="5"/>
        <v>121250.50485206761</v>
      </c>
      <c r="D45" s="43">
        <f t="shared" si="3"/>
        <v>14550.060582248112</v>
      </c>
      <c r="E45" s="44">
        <f t="shared" si="0"/>
        <v>1212.5050485206759</v>
      </c>
      <c r="F45" s="44">
        <f t="shared" si="1"/>
        <v>303.12626213016898</v>
      </c>
    </row>
    <row r="46" spans="1:6" ht="13.8" thickBot="1" x14ac:dyDescent="0.3">
      <c r="A46" s="173"/>
      <c r="B46" s="45">
        <v>4</v>
      </c>
      <c r="C46" s="43">
        <f t="shared" si="5"/>
        <v>121553.63111419778</v>
      </c>
      <c r="D46" s="43">
        <f t="shared" si="3"/>
        <v>14586.435733703733</v>
      </c>
      <c r="E46" s="44">
        <f t="shared" si="0"/>
        <v>1215.5363111419776</v>
      </c>
      <c r="F46" s="44">
        <f t="shared" si="1"/>
        <v>303.88407778549441</v>
      </c>
    </row>
    <row r="47" spans="1:6" ht="13.8" thickBot="1" x14ac:dyDescent="0.3">
      <c r="A47" s="172" t="s">
        <v>54</v>
      </c>
      <c r="B47" s="45">
        <v>1</v>
      </c>
      <c r="C47" s="43">
        <f t="shared" si="5"/>
        <v>121857.51519198327</v>
      </c>
      <c r="D47" s="43">
        <f t="shared" si="3"/>
        <v>14622.901823037992</v>
      </c>
      <c r="E47" s="44">
        <f t="shared" si="0"/>
        <v>1218.5751519198327</v>
      </c>
      <c r="F47" s="44">
        <f t="shared" si="1"/>
        <v>304.64378797995818</v>
      </c>
    </row>
    <row r="48" spans="1:6" ht="13.8" thickBot="1" x14ac:dyDescent="0.3">
      <c r="A48" s="169"/>
      <c r="B48" s="45">
        <v>2</v>
      </c>
      <c r="C48" s="43">
        <f t="shared" si="5"/>
        <v>122162.15897996323</v>
      </c>
      <c r="D48" s="43">
        <f t="shared" si="3"/>
        <v>14659.459077595588</v>
      </c>
      <c r="E48" s="44">
        <f t="shared" si="0"/>
        <v>1221.6215897996324</v>
      </c>
      <c r="F48" s="44">
        <f t="shared" si="1"/>
        <v>305.40539744990809</v>
      </c>
    </row>
    <row r="49" spans="1:6" ht="13.8" thickBot="1" x14ac:dyDescent="0.3">
      <c r="A49" s="169"/>
      <c r="B49" s="45">
        <v>3</v>
      </c>
      <c r="C49" s="43">
        <f t="shared" si="5"/>
        <v>122467.56437741315</v>
      </c>
      <c r="D49" s="43">
        <f t="shared" si="3"/>
        <v>14696.107725289578</v>
      </c>
      <c r="E49" s="44">
        <f t="shared" si="0"/>
        <v>1224.6756437741315</v>
      </c>
      <c r="F49" s="44">
        <f t="shared" si="1"/>
        <v>306.16891094353286</v>
      </c>
    </row>
    <row r="50" spans="1:6" ht="13.8" thickBot="1" x14ac:dyDescent="0.3">
      <c r="A50" s="173"/>
      <c r="B50" s="45">
        <v>4</v>
      </c>
      <c r="C50" s="43">
        <f t="shared" si="5"/>
        <v>122773.73328835669</v>
      </c>
      <c r="D50" s="43">
        <f t="shared" si="3"/>
        <v>14732.847994602802</v>
      </c>
      <c r="E50" s="44">
        <f t="shared" si="0"/>
        <v>1227.7373328835668</v>
      </c>
      <c r="F50" s="44">
        <f t="shared" si="1"/>
        <v>306.93433322089169</v>
      </c>
    </row>
    <row r="51" spans="1:6" ht="13.8" thickBot="1" x14ac:dyDescent="0.3">
      <c r="A51" s="172" t="s">
        <v>55</v>
      </c>
      <c r="B51" s="45">
        <v>1</v>
      </c>
      <c r="C51" s="43">
        <f t="shared" si="5"/>
        <v>123080.66762157758</v>
      </c>
      <c r="D51" s="43">
        <f t="shared" si="3"/>
        <v>14769.68011458931</v>
      </c>
      <c r="E51" s="44">
        <f t="shared" si="0"/>
        <v>1230.8066762157757</v>
      </c>
      <c r="F51" s="44">
        <f t="shared" si="1"/>
        <v>307.70166905394393</v>
      </c>
    </row>
    <row r="52" spans="1:6" ht="13.8" thickBot="1" x14ac:dyDescent="0.3">
      <c r="A52" s="169"/>
      <c r="B52" s="45">
        <v>2</v>
      </c>
      <c r="C52" s="43">
        <f t="shared" si="5"/>
        <v>123388.36929063153</v>
      </c>
      <c r="D52" s="43">
        <f t="shared" si="3"/>
        <v>14806.604314875782</v>
      </c>
      <c r="E52" s="44">
        <f t="shared" si="0"/>
        <v>1233.8836929063152</v>
      </c>
      <c r="F52" s="44">
        <f t="shared" si="1"/>
        <v>308.4709232265788</v>
      </c>
    </row>
    <row r="53" spans="1:6" ht="13.8" thickBot="1" x14ac:dyDescent="0.3">
      <c r="A53" s="169"/>
      <c r="B53" s="45">
        <v>3</v>
      </c>
      <c r="C53" s="43">
        <f t="shared" si="5"/>
        <v>123696.8402138581</v>
      </c>
      <c r="D53" s="43">
        <f t="shared" si="3"/>
        <v>14843.620825662971</v>
      </c>
      <c r="E53" s="44">
        <f t="shared" si="0"/>
        <v>1236.9684021385808</v>
      </c>
      <c r="F53" s="44">
        <f t="shared" si="1"/>
        <v>309.2421005346452</v>
      </c>
    </row>
    <row r="54" spans="1:6" ht="13.8" thickBot="1" x14ac:dyDescent="0.3">
      <c r="A54" s="173"/>
      <c r="B54" s="45">
        <v>4</v>
      </c>
      <c r="C54" s="43">
        <f t="shared" si="5"/>
        <v>124006.08231439274</v>
      </c>
      <c r="D54" s="43">
        <f t="shared" si="3"/>
        <v>14880.729877727128</v>
      </c>
      <c r="E54" s="44">
        <f t="shared" si="0"/>
        <v>1240.0608231439273</v>
      </c>
      <c r="F54" s="44">
        <f t="shared" si="1"/>
        <v>310.01520578598183</v>
      </c>
    </row>
    <row r="55" spans="1:6" ht="13.8" thickBot="1" x14ac:dyDescent="0.3">
      <c r="A55" s="172" t="s">
        <v>45</v>
      </c>
      <c r="B55" s="45">
        <v>1</v>
      </c>
      <c r="C55" s="43">
        <f t="shared" si="5"/>
        <v>124316.09752017872</v>
      </c>
      <c r="D55" s="43">
        <f t="shared" si="3"/>
        <v>14917.931702421447</v>
      </c>
      <c r="E55" s="44">
        <f t="shared" si="0"/>
        <v>1243.1609752017873</v>
      </c>
      <c r="F55" s="44">
        <f t="shared" si="1"/>
        <v>310.79024380044683</v>
      </c>
    </row>
    <row r="56" spans="1:6" ht="13.8" thickBot="1" x14ac:dyDescent="0.3">
      <c r="A56" s="169"/>
      <c r="B56" s="45">
        <v>2</v>
      </c>
      <c r="C56" s="43">
        <f t="shared" si="5"/>
        <v>124626.88776397918</v>
      </c>
      <c r="D56" s="43">
        <f t="shared" si="3"/>
        <v>14955.226531677501</v>
      </c>
      <c r="E56" s="44">
        <f t="shared" si="0"/>
        <v>1246.2688776397918</v>
      </c>
      <c r="F56" s="44">
        <f t="shared" si="1"/>
        <v>311.56721940994794</v>
      </c>
    </row>
    <row r="57" spans="1:6" ht="13.8" thickBot="1" x14ac:dyDescent="0.3">
      <c r="A57" s="169"/>
      <c r="B57" s="45">
        <v>3</v>
      </c>
      <c r="C57" s="43">
        <f t="shared" si="5"/>
        <v>124938.45498338912</v>
      </c>
      <c r="D57" s="43">
        <f t="shared" si="3"/>
        <v>14992.614598006694</v>
      </c>
      <c r="E57" s="44">
        <f t="shared" si="0"/>
        <v>1249.3845498338912</v>
      </c>
      <c r="F57" s="44">
        <f t="shared" si="1"/>
        <v>312.34613745847281</v>
      </c>
    </row>
    <row r="58" spans="1:6" ht="13.8" thickBot="1" x14ac:dyDescent="0.3">
      <c r="A58" s="173"/>
      <c r="B58" s="45">
        <v>4</v>
      </c>
      <c r="C58" s="43">
        <f t="shared" si="5"/>
        <v>125250.80112084759</v>
      </c>
      <c r="D58" s="43">
        <f t="shared" si="3"/>
        <v>15030.096134501711</v>
      </c>
      <c r="E58" s="44">
        <f t="shared" si="0"/>
        <v>1252.5080112084759</v>
      </c>
      <c r="F58" s="44">
        <f t="shared" si="1"/>
        <v>313.12700280211897</v>
      </c>
    </row>
    <row r="59" spans="1:6" ht="13.8" thickBot="1" x14ac:dyDescent="0.3">
      <c r="A59" s="172" t="s">
        <v>56</v>
      </c>
      <c r="B59" s="45">
        <v>1</v>
      </c>
      <c r="C59" s="43">
        <f t="shared" si="5"/>
        <v>125563.92812364972</v>
      </c>
      <c r="D59" s="43">
        <f t="shared" si="3"/>
        <v>15067.671374837966</v>
      </c>
      <c r="E59" s="44">
        <f t="shared" si="0"/>
        <v>1255.6392812364973</v>
      </c>
      <c r="F59" s="44">
        <f t="shared" si="1"/>
        <v>313.90982030912431</v>
      </c>
    </row>
    <row r="60" spans="1:6" ht="13.8" thickBot="1" x14ac:dyDescent="0.3">
      <c r="A60" s="169"/>
      <c r="B60" s="45">
        <v>2</v>
      </c>
      <c r="C60" s="43">
        <f t="shared" si="5"/>
        <v>125877.83794395885</v>
      </c>
      <c r="D60" s="43">
        <f t="shared" si="3"/>
        <v>15105.34055327506</v>
      </c>
      <c r="E60" s="44">
        <f t="shared" si="0"/>
        <v>1258.7783794395884</v>
      </c>
      <c r="F60" s="44">
        <f t="shared" si="1"/>
        <v>314.69459485989711</v>
      </c>
    </row>
    <row r="61" spans="1:6" ht="13.8" thickBot="1" x14ac:dyDescent="0.3">
      <c r="A61" s="169"/>
      <c r="B61" s="45">
        <v>3</v>
      </c>
      <c r="C61" s="43">
        <f t="shared" si="5"/>
        <v>126192.53253881875</v>
      </c>
      <c r="D61" s="43">
        <f t="shared" si="3"/>
        <v>15143.10390465825</v>
      </c>
      <c r="E61" s="44">
        <f t="shared" si="0"/>
        <v>1261.9253253881875</v>
      </c>
      <c r="F61" s="44">
        <f t="shared" si="1"/>
        <v>315.48133134704688</v>
      </c>
    </row>
    <row r="62" spans="1:6" ht="13.8" thickBot="1" x14ac:dyDescent="0.3">
      <c r="A62" s="173"/>
      <c r="B62" s="45">
        <v>4</v>
      </c>
      <c r="C62" s="43">
        <f t="shared" si="5"/>
        <v>126508.0138701658</v>
      </c>
      <c r="D62" s="43">
        <f t="shared" si="3"/>
        <v>15180.961664419896</v>
      </c>
      <c r="E62" s="44">
        <f t="shared" si="0"/>
        <v>1265.0801387016579</v>
      </c>
      <c r="F62" s="44">
        <f t="shared" si="1"/>
        <v>316.27003467541448</v>
      </c>
    </row>
    <row r="63" spans="1:6" ht="13.8" thickBot="1" x14ac:dyDescent="0.3">
      <c r="A63" s="172" t="s">
        <v>57</v>
      </c>
      <c r="B63" s="45">
        <v>1</v>
      </c>
      <c r="C63" s="43">
        <f t="shared" si="5"/>
        <v>126824.28390484121</v>
      </c>
      <c r="D63" s="43">
        <f t="shared" si="3"/>
        <v>15218.914068580945</v>
      </c>
      <c r="E63" s="44">
        <f t="shared" si="0"/>
        <v>1268.2428390484122</v>
      </c>
      <c r="F63" s="44">
        <f t="shared" si="1"/>
        <v>317.06070976210304</v>
      </c>
    </row>
    <row r="64" spans="1:6" ht="13.8" thickBot="1" x14ac:dyDescent="0.3">
      <c r="A64" s="169"/>
      <c r="B64" s="45">
        <v>2</v>
      </c>
      <c r="C64" s="43">
        <f t="shared" si="5"/>
        <v>127141.34461460331</v>
      </c>
      <c r="D64" s="43">
        <f t="shared" si="3"/>
        <v>15256.961353752396</v>
      </c>
      <c r="E64" s="44">
        <f t="shared" si="0"/>
        <v>1271.413446146033</v>
      </c>
      <c r="F64" s="44">
        <f t="shared" si="1"/>
        <v>317.85336153650826</v>
      </c>
    </row>
    <row r="65" spans="1:6" ht="13.8" thickBot="1" x14ac:dyDescent="0.3">
      <c r="A65" s="169"/>
      <c r="B65" s="45">
        <v>3</v>
      </c>
      <c r="C65" s="43">
        <f t="shared" si="5"/>
        <v>127459.19797613981</v>
      </c>
      <c r="D65" s="43">
        <f t="shared" si="3"/>
        <v>15295.103757136776</v>
      </c>
      <c r="E65" s="44">
        <f t="shared" si="0"/>
        <v>1274.5919797613981</v>
      </c>
      <c r="F65" s="44">
        <f t="shared" si="1"/>
        <v>318.64799494034952</v>
      </c>
    </row>
    <row r="66" spans="1:6" ht="13.8" thickBot="1" x14ac:dyDescent="0.3">
      <c r="A66" s="174"/>
      <c r="B66" s="48">
        <v>4</v>
      </c>
      <c r="C66" s="49">
        <f t="shared" si="5"/>
        <v>127777.84597108015</v>
      </c>
      <c r="D66" s="43">
        <f t="shared" si="3"/>
        <v>15333.341516529617</v>
      </c>
      <c r="E66" s="50">
        <f t="shared" si="0"/>
        <v>1277.7784597108014</v>
      </c>
      <c r="F66" s="50">
        <f t="shared" si="1"/>
        <v>319.44461492770034</v>
      </c>
    </row>
    <row r="67" spans="1:6" ht="14.4" thickTop="1" thickBot="1" x14ac:dyDescent="0.3">
      <c r="A67" s="175" t="s">
        <v>62</v>
      </c>
      <c r="B67" s="47">
        <v>1</v>
      </c>
      <c r="C67" s="43">
        <f t="shared" si="5"/>
        <v>128097.29058600786</v>
      </c>
      <c r="D67" s="43">
        <f t="shared" si="3"/>
        <v>15371.674870320943</v>
      </c>
      <c r="E67" s="44">
        <f t="shared" si="0"/>
        <v>1280.9729058600785</v>
      </c>
      <c r="F67" s="44">
        <f t="shared" si="1"/>
        <v>320.24322646501963</v>
      </c>
    </row>
    <row r="68" spans="1:6" ht="13.8" thickBot="1" x14ac:dyDescent="0.3">
      <c r="A68" s="169"/>
      <c r="B68" s="45">
        <v>2</v>
      </c>
      <c r="C68" s="43">
        <f t="shared" si="5"/>
        <v>128417.53381247287</v>
      </c>
      <c r="D68" s="43">
        <f t="shared" si="3"/>
        <v>15410.104057496745</v>
      </c>
      <c r="E68" s="44">
        <f t="shared" si="0"/>
        <v>1284.1753381247288</v>
      </c>
      <c r="F68" s="44">
        <f t="shared" si="1"/>
        <v>321.0438345311822</v>
      </c>
    </row>
    <row r="69" spans="1:6" ht="13.8" thickBot="1" x14ac:dyDescent="0.3">
      <c r="A69" s="169"/>
      <c r="B69" s="45">
        <v>3</v>
      </c>
      <c r="C69" s="43">
        <f t="shared" si="5"/>
        <v>128738.57764700406</v>
      </c>
      <c r="D69" s="43">
        <f t="shared" si="3"/>
        <v>15448.629317640487</v>
      </c>
      <c r="E69" s="44">
        <f t="shared" si="0"/>
        <v>1287.3857764700406</v>
      </c>
      <c r="F69" s="44">
        <f t="shared" si="1"/>
        <v>321.84644411751015</v>
      </c>
    </row>
    <row r="70" spans="1:6" ht="13.8" thickBot="1" x14ac:dyDescent="0.3">
      <c r="A70" s="173"/>
      <c r="B70" s="45">
        <v>4</v>
      </c>
      <c r="C70" s="43">
        <f t="shared" si="5"/>
        <v>129060.42409112157</v>
      </c>
      <c r="D70" s="43">
        <f t="shared" si="3"/>
        <v>15487.250890934589</v>
      </c>
      <c r="E70" s="44">
        <f t="shared" ref="E70:E133" si="8">D70/12</f>
        <v>1290.6042409112158</v>
      </c>
      <c r="F70" s="44">
        <f t="shared" ref="F70:F133" si="9">E70/4</f>
        <v>322.65106022780395</v>
      </c>
    </row>
    <row r="71" spans="1:6" ht="13.8" thickBot="1" x14ac:dyDescent="0.3">
      <c r="A71" s="172" t="s">
        <v>63</v>
      </c>
      <c r="B71" s="45">
        <v>1</v>
      </c>
      <c r="C71" s="43">
        <f t="shared" si="5"/>
        <v>129383.07515134937</v>
      </c>
      <c r="D71" s="43">
        <f t="shared" ref="D71:D134" si="10">C71*$F$2</f>
        <v>15525.969018161924</v>
      </c>
      <c r="E71" s="44">
        <f t="shared" si="8"/>
        <v>1293.8307515134936</v>
      </c>
      <c r="F71" s="44">
        <f t="shared" si="9"/>
        <v>323.45768787837341</v>
      </c>
    </row>
    <row r="72" spans="1:6" ht="13.8" thickBot="1" x14ac:dyDescent="0.3">
      <c r="A72" s="169"/>
      <c r="B72" s="45">
        <v>2</v>
      </c>
      <c r="C72" s="43">
        <f t="shared" si="5"/>
        <v>129706.53283922774</v>
      </c>
      <c r="D72" s="43">
        <f t="shared" si="10"/>
        <v>15564.783940707328</v>
      </c>
      <c r="E72" s="44">
        <f t="shared" si="8"/>
        <v>1297.0653283922773</v>
      </c>
      <c r="F72" s="44">
        <f t="shared" si="9"/>
        <v>324.26633209806931</v>
      </c>
    </row>
    <row r="73" spans="1:6" ht="13.8" thickBot="1" x14ac:dyDescent="0.3">
      <c r="A73" s="169"/>
      <c r="B73" s="45">
        <v>3</v>
      </c>
      <c r="C73" s="43">
        <f t="shared" si="5"/>
        <v>130030.79917132581</v>
      </c>
      <c r="D73" s="43">
        <f t="shared" si="10"/>
        <v>15603.695900559096</v>
      </c>
      <c r="E73" s="44">
        <f t="shared" si="8"/>
        <v>1300.3079917132579</v>
      </c>
      <c r="F73" s="44">
        <f t="shared" si="9"/>
        <v>325.07699792831448</v>
      </c>
    </row>
    <row r="74" spans="1:6" ht="13.8" thickBot="1" x14ac:dyDescent="0.3">
      <c r="A74" s="173"/>
      <c r="B74" s="45">
        <v>4</v>
      </c>
      <c r="C74" s="43">
        <f t="shared" si="5"/>
        <v>130355.87616925413</v>
      </c>
      <c r="D74" s="43">
        <f t="shared" si="10"/>
        <v>15642.705140310494</v>
      </c>
      <c r="E74" s="44">
        <f t="shared" si="8"/>
        <v>1303.5587616925411</v>
      </c>
      <c r="F74" s="44">
        <f t="shared" si="9"/>
        <v>325.88969042313528</v>
      </c>
    </row>
    <row r="75" spans="1:6" ht="13.8" thickBot="1" x14ac:dyDescent="0.3">
      <c r="A75" s="172" t="s">
        <v>64</v>
      </c>
      <c r="B75" s="45">
        <v>1</v>
      </c>
      <c r="C75" s="43">
        <f t="shared" ref="C75:C138" si="11">IF(B75=1,C74+F74+$B$3,C74+F74)</f>
        <v>130681.76585967727</v>
      </c>
      <c r="D75" s="43">
        <f t="shared" si="10"/>
        <v>15681.811903161271</v>
      </c>
      <c r="E75" s="44">
        <f t="shared" si="8"/>
        <v>1306.8176585967726</v>
      </c>
      <c r="F75" s="44">
        <f t="shared" si="9"/>
        <v>326.70441464919315</v>
      </c>
    </row>
    <row r="76" spans="1:6" ht="13.8" thickBot="1" x14ac:dyDescent="0.3">
      <c r="A76" s="169"/>
      <c r="B76" s="45">
        <v>2</v>
      </c>
      <c r="C76" s="43">
        <f t="shared" si="11"/>
        <v>131008.47027432646</v>
      </c>
      <c r="D76" s="43">
        <f t="shared" si="10"/>
        <v>15721.016432919176</v>
      </c>
      <c r="E76" s="44">
        <f t="shared" si="8"/>
        <v>1310.0847027432646</v>
      </c>
      <c r="F76" s="44">
        <f t="shared" si="9"/>
        <v>327.52117568581616</v>
      </c>
    </row>
    <row r="77" spans="1:6" ht="13.8" thickBot="1" x14ac:dyDescent="0.3">
      <c r="A77" s="169"/>
      <c r="B77" s="45">
        <v>3</v>
      </c>
      <c r="C77" s="43">
        <f t="shared" si="11"/>
        <v>131335.99145001228</v>
      </c>
      <c r="D77" s="43">
        <f t="shared" si="10"/>
        <v>15760.318974001473</v>
      </c>
      <c r="E77" s="44">
        <f t="shared" si="8"/>
        <v>1313.3599145001228</v>
      </c>
      <c r="F77" s="44">
        <f t="shared" si="9"/>
        <v>328.33997862503071</v>
      </c>
    </row>
    <row r="78" spans="1:6" ht="13.8" thickBot="1" x14ac:dyDescent="0.3">
      <c r="A78" s="173"/>
      <c r="B78" s="45">
        <v>4</v>
      </c>
      <c r="C78" s="43">
        <f t="shared" si="11"/>
        <v>131664.33142863732</v>
      </c>
      <c r="D78" s="43">
        <f t="shared" si="10"/>
        <v>15799.719771436477</v>
      </c>
      <c r="E78" s="44">
        <f t="shared" si="8"/>
        <v>1316.6433142863732</v>
      </c>
      <c r="F78" s="44">
        <f t="shared" si="9"/>
        <v>329.1608285715933</v>
      </c>
    </row>
    <row r="79" spans="1:6" ht="13.8" thickBot="1" x14ac:dyDescent="0.3">
      <c r="A79" s="172" t="s">
        <v>65</v>
      </c>
      <c r="B79" s="45">
        <v>1</v>
      </c>
      <c r="C79" s="43">
        <f t="shared" si="11"/>
        <v>131993.49225720891</v>
      </c>
      <c r="D79" s="43">
        <f t="shared" si="10"/>
        <v>15839.219070865069</v>
      </c>
      <c r="E79" s="44">
        <f t="shared" si="8"/>
        <v>1319.9349225720891</v>
      </c>
      <c r="F79" s="44">
        <f t="shared" si="9"/>
        <v>329.98373064302228</v>
      </c>
    </row>
    <row r="80" spans="1:6" ht="13.8" thickBot="1" x14ac:dyDescent="0.3">
      <c r="A80" s="169"/>
      <c r="B80" s="45">
        <v>2</v>
      </c>
      <c r="C80" s="43">
        <f t="shared" si="11"/>
        <v>132323.47598785194</v>
      </c>
      <c r="D80" s="43">
        <f t="shared" si="10"/>
        <v>15878.817118542232</v>
      </c>
      <c r="E80" s="44">
        <f t="shared" si="8"/>
        <v>1323.2347598785193</v>
      </c>
      <c r="F80" s="44">
        <f t="shared" si="9"/>
        <v>330.80868996962982</v>
      </c>
    </row>
    <row r="81" spans="1:6" ht="13.8" thickBot="1" x14ac:dyDescent="0.3">
      <c r="A81" s="169"/>
      <c r="B81" s="45">
        <v>3</v>
      </c>
      <c r="C81" s="43">
        <f t="shared" si="11"/>
        <v>132654.28467782156</v>
      </c>
      <c r="D81" s="43">
        <f t="shared" si="10"/>
        <v>15918.514161338586</v>
      </c>
      <c r="E81" s="44">
        <f t="shared" si="8"/>
        <v>1326.5428467782156</v>
      </c>
      <c r="F81" s="44">
        <f t="shared" si="9"/>
        <v>331.63571169455389</v>
      </c>
    </row>
    <row r="82" spans="1:6" ht="13.8" thickBot="1" x14ac:dyDescent="0.3">
      <c r="A82" s="173"/>
      <c r="B82" s="45">
        <v>4</v>
      </c>
      <c r="C82" s="43">
        <f t="shared" si="11"/>
        <v>132985.9203895161</v>
      </c>
      <c r="D82" s="43">
        <f t="shared" si="10"/>
        <v>15958.310446741933</v>
      </c>
      <c r="E82" s="44">
        <f t="shared" si="8"/>
        <v>1329.859203895161</v>
      </c>
      <c r="F82" s="44">
        <f t="shared" si="9"/>
        <v>332.46480097379026</v>
      </c>
    </row>
    <row r="83" spans="1:6" ht="13.8" thickBot="1" x14ac:dyDescent="0.3">
      <c r="A83" s="172" t="s">
        <v>66</v>
      </c>
      <c r="B83" s="45">
        <v>1</v>
      </c>
      <c r="C83" s="43">
        <f t="shared" si="11"/>
        <v>133318.38519048991</v>
      </c>
      <c r="D83" s="43">
        <f t="shared" si="10"/>
        <v>15998.206222858787</v>
      </c>
      <c r="E83" s="44">
        <f t="shared" si="8"/>
        <v>1333.183851904899</v>
      </c>
      <c r="F83" s="44">
        <f t="shared" si="9"/>
        <v>333.29596297622476</v>
      </c>
    </row>
    <row r="84" spans="1:6" ht="13.8" thickBot="1" x14ac:dyDescent="0.3">
      <c r="A84" s="169"/>
      <c r="B84" s="45">
        <v>2</v>
      </c>
      <c r="C84" s="43">
        <f t="shared" si="11"/>
        <v>133651.68115346614</v>
      </c>
      <c r="D84" s="43">
        <f t="shared" si="10"/>
        <v>16038.201738415935</v>
      </c>
      <c r="E84" s="44">
        <f t="shared" si="8"/>
        <v>1336.5168115346612</v>
      </c>
      <c r="F84" s="44">
        <f t="shared" si="9"/>
        <v>334.1292028836653</v>
      </c>
    </row>
    <row r="85" spans="1:6" ht="13.8" thickBot="1" x14ac:dyDescent="0.3">
      <c r="A85" s="169"/>
      <c r="B85" s="45">
        <v>3</v>
      </c>
      <c r="C85" s="43">
        <f t="shared" si="11"/>
        <v>133985.8103563498</v>
      </c>
      <c r="D85" s="43">
        <f t="shared" si="10"/>
        <v>16078.297242761975</v>
      </c>
      <c r="E85" s="44">
        <f t="shared" si="8"/>
        <v>1339.8581035634979</v>
      </c>
      <c r="F85" s="44">
        <f t="shared" si="9"/>
        <v>334.96452589087448</v>
      </c>
    </row>
    <row r="86" spans="1:6" ht="13.8" thickBot="1" x14ac:dyDescent="0.3">
      <c r="A86" s="173"/>
      <c r="B86" s="45">
        <v>4</v>
      </c>
      <c r="C86" s="43">
        <f t="shared" si="11"/>
        <v>134320.77488224069</v>
      </c>
      <c r="D86" s="43">
        <f t="shared" si="10"/>
        <v>16118.492985868881</v>
      </c>
      <c r="E86" s="44">
        <f t="shared" si="8"/>
        <v>1343.2077488224068</v>
      </c>
      <c r="F86" s="44">
        <f t="shared" si="9"/>
        <v>335.80193720560169</v>
      </c>
    </row>
    <row r="87" spans="1:6" ht="13.8" thickBot="1" x14ac:dyDescent="0.3">
      <c r="A87" s="172" t="s">
        <v>67</v>
      </c>
      <c r="B87" s="45">
        <v>1</v>
      </c>
      <c r="C87" s="43">
        <f t="shared" si="11"/>
        <v>134656.57681944629</v>
      </c>
      <c r="D87" s="43">
        <f t="shared" si="10"/>
        <v>16158.789218333553</v>
      </c>
      <c r="E87" s="44">
        <f t="shared" si="8"/>
        <v>1346.5657681944629</v>
      </c>
      <c r="F87" s="44">
        <f t="shared" si="9"/>
        <v>336.64144204861572</v>
      </c>
    </row>
    <row r="88" spans="1:6" ht="13.8" thickBot="1" x14ac:dyDescent="0.3">
      <c r="A88" s="169"/>
      <c r="B88" s="45">
        <v>2</v>
      </c>
      <c r="C88" s="43">
        <f t="shared" si="11"/>
        <v>134993.21826149491</v>
      </c>
      <c r="D88" s="43">
        <f t="shared" si="10"/>
        <v>16199.186191379389</v>
      </c>
      <c r="E88" s="44">
        <f t="shared" si="8"/>
        <v>1349.9321826149492</v>
      </c>
      <c r="F88" s="44">
        <f t="shared" si="9"/>
        <v>337.48304565373729</v>
      </c>
    </row>
    <row r="89" spans="1:6" ht="13.8" thickBot="1" x14ac:dyDescent="0.3">
      <c r="A89" s="169"/>
      <c r="B89" s="45">
        <v>3</v>
      </c>
      <c r="C89" s="43">
        <f t="shared" si="11"/>
        <v>135330.70130714864</v>
      </c>
      <c r="D89" s="43">
        <f t="shared" si="10"/>
        <v>16239.684156857837</v>
      </c>
      <c r="E89" s="44">
        <f t="shared" si="8"/>
        <v>1353.3070130714864</v>
      </c>
      <c r="F89" s="44">
        <f t="shared" si="9"/>
        <v>338.3267532678716</v>
      </c>
    </row>
    <row r="90" spans="1:6" ht="13.8" thickBot="1" x14ac:dyDescent="0.3">
      <c r="A90" s="173"/>
      <c r="B90" s="45">
        <v>4</v>
      </c>
      <c r="C90" s="43">
        <f t="shared" si="11"/>
        <v>135669.02806041652</v>
      </c>
      <c r="D90" s="43">
        <f t="shared" si="10"/>
        <v>16280.283367249982</v>
      </c>
      <c r="E90" s="44">
        <f t="shared" si="8"/>
        <v>1356.6902806041651</v>
      </c>
      <c r="F90" s="44">
        <f t="shared" si="9"/>
        <v>339.17257015104127</v>
      </c>
    </row>
    <row r="91" spans="1:6" ht="13.8" thickBot="1" x14ac:dyDescent="0.3">
      <c r="A91" s="172" t="s">
        <v>68</v>
      </c>
      <c r="B91" s="45">
        <v>1</v>
      </c>
      <c r="C91" s="43">
        <f t="shared" si="11"/>
        <v>136008.20063056756</v>
      </c>
      <c r="D91" s="43">
        <f t="shared" si="10"/>
        <v>16320.984075668106</v>
      </c>
      <c r="E91" s="44">
        <f t="shared" si="8"/>
        <v>1360.0820063056756</v>
      </c>
      <c r="F91" s="44">
        <f t="shared" si="9"/>
        <v>340.02050157641889</v>
      </c>
    </row>
    <row r="92" spans="1:6" ht="13.8" thickBot="1" x14ac:dyDescent="0.3">
      <c r="A92" s="169"/>
      <c r="B92" s="45">
        <v>2</v>
      </c>
      <c r="C92" s="43">
        <f t="shared" si="11"/>
        <v>136348.22113214398</v>
      </c>
      <c r="D92" s="43">
        <f t="shared" si="10"/>
        <v>16361.786535857278</v>
      </c>
      <c r="E92" s="44">
        <f t="shared" si="8"/>
        <v>1363.4822113214398</v>
      </c>
      <c r="F92" s="44">
        <f t="shared" si="9"/>
        <v>340.87055283035994</v>
      </c>
    </row>
    <row r="93" spans="1:6" ht="13.8" thickBot="1" x14ac:dyDescent="0.3">
      <c r="A93" s="169"/>
      <c r="B93" s="45">
        <v>3</v>
      </c>
      <c r="C93" s="43">
        <f t="shared" si="11"/>
        <v>136689.09168497435</v>
      </c>
      <c r="D93" s="43">
        <f t="shared" si="10"/>
        <v>16402.691002196923</v>
      </c>
      <c r="E93" s="44">
        <f t="shared" si="8"/>
        <v>1366.8909168497437</v>
      </c>
      <c r="F93" s="44">
        <f t="shared" si="9"/>
        <v>341.72272921243592</v>
      </c>
    </row>
    <row r="94" spans="1:6" ht="13.8" thickBot="1" x14ac:dyDescent="0.3">
      <c r="A94" s="173"/>
      <c r="B94" s="45">
        <v>4</v>
      </c>
      <c r="C94" s="43">
        <f t="shared" si="11"/>
        <v>137030.81441418678</v>
      </c>
      <c r="D94" s="43">
        <f t="shared" si="10"/>
        <v>16443.697729702413</v>
      </c>
      <c r="E94" s="44">
        <f t="shared" si="8"/>
        <v>1370.3081441418678</v>
      </c>
      <c r="F94" s="44">
        <f t="shared" si="9"/>
        <v>342.57703603546696</v>
      </c>
    </row>
    <row r="95" spans="1:6" ht="13.8" thickBot="1" x14ac:dyDescent="0.3">
      <c r="A95" s="172" t="s">
        <v>61</v>
      </c>
      <c r="B95" s="45">
        <v>1</v>
      </c>
      <c r="C95" s="43">
        <f t="shared" si="11"/>
        <v>137373.39145022226</v>
      </c>
      <c r="D95" s="43">
        <f t="shared" si="10"/>
        <v>16484.806974026669</v>
      </c>
      <c r="E95" s="44">
        <f t="shared" si="8"/>
        <v>1373.7339145022224</v>
      </c>
      <c r="F95" s="44">
        <f t="shared" si="9"/>
        <v>343.43347862555561</v>
      </c>
    </row>
    <row r="96" spans="1:6" ht="13.8" thickBot="1" x14ac:dyDescent="0.3">
      <c r="A96" s="169"/>
      <c r="B96" s="45">
        <v>2</v>
      </c>
      <c r="C96" s="43">
        <f t="shared" si="11"/>
        <v>137716.82492884781</v>
      </c>
      <c r="D96" s="43">
        <f t="shared" si="10"/>
        <v>16526.018991461737</v>
      </c>
      <c r="E96" s="44">
        <f t="shared" si="8"/>
        <v>1377.1682492884781</v>
      </c>
      <c r="F96" s="44">
        <f t="shared" si="9"/>
        <v>344.29206232211953</v>
      </c>
    </row>
    <row r="97" spans="1:6" ht="13.8" thickBot="1" x14ac:dyDescent="0.3">
      <c r="A97" s="169"/>
      <c r="B97" s="45">
        <v>3</v>
      </c>
      <c r="C97" s="43">
        <f t="shared" si="11"/>
        <v>138061.11699116993</v>
      </c>
      <c r="D97" s="43">
        <f t="shared" si="10"/>
        <v>16567.334038940389</v>
      </c>
      <c r="E97" s="44">
        <f t="shared" si="8"/>
        <v>1380.6111699116991</v>
      </c>
      <c r="F97" s="44">
        <f t="shared" si="9"/>
        <v>345.15279247792478</v>
      </c>
    </row>
    <row r="98" spans="1:6" ht="13.8" thickBot="1" x14ac:dyDescent="0.3">
      <c r="A98" s="173"/>
      <c r="B98" s="45">
        <v>4</v>
      </c>
      <c r="C98" s="43">
        <f t="shared" si="11"/>
        <v>138406.26978364785</v>
      </c>
      <c r="D98" s="43">
        <f t="shared" si="10"/>
        <v>16608.75237403774</v>
      </c>
      <c r="E98" s="44">
        <f t="shared" si="8"/>
        <v>1384.0626978364783</v>
      </c>
      <c r="F98" s="44">
        <f t="shared" si="9"/>
        <v>346.01567445911957</v>
      </c>
    </row>
    <row r="99" spans="1:6" ht="13.8" thickBot="1" x14ac:dyDescent="0.3">
      <c r="A99" s="172" t="s">
        <v>60</v>
      </c>
      <c r="B99" s="45">
        <v>1</v>
      </c>
      <c r="C99" s="43">
        <f t="shared" si="11"/>
        <v>138752.28545810696</v>
      </c>
      <c r="D99" s="43">
        <f t="shared" si="10"/>
        <v>16650.274254972835</v>
      </c>
      <c r="E99" s="44">
        <f t="shared" si="8"/>
        <v>1387.5228545810696</v>
      </c>
      <c r="F99" s="44">
        <f t="shared" si="9"/>
        <v>346.88071364526741</v>
      </c>
    </row>
    <row r="100" spans="1:6" ht="13.8" thickBot="1" x14ac:dyDescent="0.3">
      <c r="A100" s="169"/>
      <c r="B100" s="45">
        <v>2</v>
      </c>
      <c r="C100" s="43">
        <f t="shared" si="11"/>
        <v>139099.16617175224</v>
      </c>
      <c r="D100" s="43">
        <f t="shared" si="10"/>
        <v>16691.899940610267</v>
      </c>
      <c r="E100" s="44">
        <f t="shared" si="8"/>
        <v>1390.9916617175222</v>
      </c>
      <c r="F100" s="44">
        <f t="shared" si="9"/>
        <v>347.74791542938055</v>
      </c>
    </row>
    <row r="101" spans="1:6" ht="13.8" thickBot="1" x14ac:dyDescent="0.3">
      <c r="A101" s="169"/>
      <c r="B101" s="45">
        <v>3</v>
      </c>
      <c r="C101" s="43">
        <f t="shared" si="11"/>
        <v>139446.91408718162</v>
      </c>
      <c r="D101" s="43">
        <f t="shared" si="10"/>
        <v>16733.629690461792</v>
      </c>
      <c r="E101" s="44">
        <f t="shared" si="8"/>
        <v>1394.4691408718161</v>
      </c>
      <c r="F101" s="44">
        <f t="shared" si="9"/>
        <v>348.61728521795402</v>
      </c>
    </row>
    <row r="102" spans="1:6" ht="13.8" thickBot="1" x14ac:dyDescent="0.3">
      <c r="A102" s="173"/>
      <c r="B102" s="45">
        <v>4</v>
      </c>
      <c r="C102" s="43">
        <f t="shared" si="11"/>
        <v>139795.53137239956</v>
      </c>
      <c r="D102" s="43">
        <f t="shared" si="10"/>
        <v>16775.463764687946</v>
      </c>
      <c r="E102" s="44">
        <f t="shared" si="8"/>
        <v>1397.9553137239955</v>
      </c>
      <c r="F102" s="44">
        <f t="shared" si="9"/>
        <v>349.48882843099886</v>
      </c>
    </row>
    <row r="103" spans="1:6" ht="13.8" thickBot="1" x14ac:dyDescent="0.3">
      <c r="A103" s="172" t="s">
        <v>59</v>
      </c>
      <c r="B103" s="45">
        <v>1</v>
      </c>
      <c r="C103" s="43">
        <f t="shared" si="11"/>
        <v>140145.02020083056</v>
      </c>
      <c r="D103" s="43">
        <f t="shared" si="10"/>
        <v>16817.402424099666</v>
      </c>
      <c r="E103" s="44">
        <f t="shared" si="8"/>
        <v>1401.4502020083055</v>
      </c>
      <c r="F103" s="44">
        <f t="shared" si="9"/>
        <v>350.36255050207637</v>
      </c>
    </row>
    <row r="104" spans="1:6" ht="13.8" thickBot="1" x14ac:dyDescent="0.3">
      <c r="A104" s="169"/>
      <c r="B104" s="45">
        <v>2</v>
      </c>
      <c r="C104" s="43">
        <f t="shared" si="11"/>
        <v>140495.38275133265</v>
      </c>
      <c r="D104" s="43">
        <f t="shared" si="10"/>
        <v>16859.445930159916</v>
      </c>
      <c r="E104" s="44">
        <f t="shared" si="8"/>
        <v>1404.9538275133264</v>
      </c>
      <c r="F104" s="44">
        <f t="shared" si="9"/>
        <v>351.23845687833159</v>
      </c>
    </row>
    <row r="105" spans="1:6" ht="13.8" thickBot="1" x14ac:dyDescent="0.3">
      <c r="A105" s="169"/>
      <c r="B105" s="45">
        <v>3</v>
      </c>
      <c r="C105" s="43">
        <f t="shared" si="11"/>
        <v>140846.621208211</v>
      </c>
      <c r="D105" s="43">
        <f t="shared" si="10"/>
        <v>16901.594544985321</v>
      </c>
      <c r="E105" s="44">
        <f t="shared" si="8"/>
        <v>1408.4662120821101</v>
      </c>
      <c r="F105" s="44">
        <f t="shared" si="9"/>
        <v>352.11655302052753</v>
      </c>
    </row>
    <row r="106" spans="1:6" ht="13.8" thickBot="1" x14ac:dyDescent="0.3">
      <c r="A106" s="173"/>
      <c r="B106" s="45">
        <v>4</v>
      </c>
      <c r="C106" s="43">
        <f t="shared" si="11"/>
        <v>141198.73776123152</v>
      </c>
      <c r="D106" s="43">
        <f t="shared" si="10"/>
        <v>16943.848531347783</v>
      </c>
      <c r="E106" s="44">
        <f t="shared" si="8"/>
        <v>1411.9873776123152</v>
      </c>
      <c r="F106" s="44">
        <f t="shared" si="9"/>
        <v>352.9968444030788</v>
      </c>
    </row>
    <row r="107" spans="1:6" ht="13.8" thickBot="1" x14ac:dyDescent="0.3">
      <c r="A107" s="172" t="s">
        <v>58</v>
      </c>
      <c r="B107" s="45">
        <v>1</v>
      </c>
      <c r="C107" s="43">
        <f t="shared" si="11"/>
        <v>141551.73460563459</v>
      </c>
      <c r="D107" s="43">
        <f t="shared" si="10"/>
        <v>16986.20815267615</v>
      </c>
      <c r="E107" s="44">
        <f t="shared" si="8"/>
        <v>1415.5173460563458</v>
      </c>
      <c r="F107" s="44">
        <f t="shared" si="9"/>
        <v>353.87933651408645</v>
      </c>
    </row>
    <row r="108" spans="1:6" ht="13.8" thickBot="1" x14ac:dyDescent="0.3">
      <c r="A108" s="169"/>
      <c r="B108" s="45">
        <v>2</v>
      </c>
      <c r="C108" s="43">
        <f t="shared" si="11"/>
        <v>141905.61394214866</v>
      </c>
      <c r="D108" s="43">
        <f t="shared" si="10"/>
        <v>17028.673673057838</v>
      </c>
      <c r="E108" s="44">
        <f t="shared" si="8"/>
        <v>1419.0561394214865</v>
      </c>
      <c r="F108" s="44">
        <f t="shared" si="9"/>
        <v>354.76403485537162</v>
      </c>
    </row>
    <row r="109" spans="1:6" ht="13.8" thickBot="1" x14ac:dyDescent="0.3">
      <c r="A109" s="169"/>
      <c r="B109" s="45">
        <v>3</v>
      </c>
      <c r="C109" s="43">
        <f t="shared" si="11"/>
        <v>142260.37797700404</v>
      </c>
      <c r="D109" s="43">
        <f t="shared" si="10"/>
        <v>17071.245357240485</v>
      </c>
      <c r="E109" s="44">
        <f t="shared" si="8"/>
        <v>1422.6037797700403</v>
      </c>
      <c r="F109" s="44">
        <f t="shared" si="9"/>
        <v>355.65094494251008</v>
      </c>
    </row>
    <row r="110" spans="1:6" ht="13.8" thickBot="1" x14ac:dyDescent="0.3">
      <c r="A110" s="173"/>
      <c r="B110" s="45">
        <v>4</v>
      </c>
      <c r="C110" s="43">
        <f t="shared" si="11"/>
        <v>142616.02892194656</v>
      </c>
      <c r="D110" s="43">
        <f t="shared" si="10"/>
        <v>17113.923470633588</v>
      </c>
      <c r="E110" s="44">
        <f t="shared" si="8"/>
        <v>1426.1602892194658</v>
      </c>
      <c r="F110" s="44">
        <f t="shared" si="9"/>
        <v>356.54007230486644</v>
      </c>
    </row>
    <row r="111" spans="1:6" ht="13.8" thickBot="1" x14ac:dyDescent="0.3">
      <c r="A111" s="172" t="s">
        <v>57</v>
      </c>
      <c r="B111" s="45">
        <v>1</v>
      </c>
      <c r="C111" s="43">
        <f t="shared" si="11"/>
        <v>142972.56899425143</v>
      </c>
      <c r="D111" s="43">
        <f t="shared" si="10"/>
        <v>17156.708279310173</v>
      </c>
      <c r="E111" s="44">
        <f t="shared" si="8"/>
        <v>1429.7256899425145</v>
      </c>
      <c r="F111" s="44">
        <f t="shared" si="9"/>
        <v>357.43142248562862</v>
      </c>
    </row>
    <row r="112" spans="1:6" ht="13.8" thickBot="1" x14ac:dyDescent="0.3">
      <c r="A112" s="169"/>
      <c r="B112" s="45">
        <v>2</v>
      </c>
      <c r="C112" s="43">
        <f t="shared" si="11"/>
        <v>143330.00041673705</v>
      </c>
      <c r="D112" s="43">
        <f t="shared" si="10"/>
        <v>17199.600050008445</v>
      </c>
      <c r="E112" s="44">
        <f t="shared" si="8"/>
        <v>1433.3000041673704</v>
      </c>
      <c r="F112" s="44">
        <f t="shared" si="9"/>
        <v>358.3250010418426</v>
      </c>
    </row>
    <row r="113" spans="1:6" ht="13.8" thickBot="1" x14ac:dyDescent="0.3">
      <c r="A113" s="169"/>
      <c r="B113" s="45">
        <v>3</v>
      </c>
      <c r="C113" s="43">
        <f t="shared" si="11"/>
        <v>143688.32541777889</v>
      </c>
      <c r="D113" s="43">
        <f t="shared" si="10"/>
        <v>17242.599050133467</v>
      </c>
      <c r="E113" s="44">
        <f t="shared" si="8"/>
        <v>1436.883254177789</v>
      </c>
      <c r="F113" s="44">
        <f t="shared" si="9"/>
        <v>359.22081354444725</v>
      </c>
    </row>
    <row r="114" spans="1:6" ht="13.8" thickBot="1" x14ac:dyDescent="0.3">
      <c r="A114" s="174"/>
      <c r="B114" s="48">
        <v>4</v>
      </c>
      <c r="C114" s="49">
        <f t="shared" si="11"/>
        <v>144047.54623132333</v>
      </c>
      <c r="D114" s="43">
        <f t="shared" si="10"/>
        <v>17285.7055477588</v>
      </c>
      <c r="E114" s="50">
        <f t="shared" si="8"/>
        <v>1440.4754623132333</v>
      </c>
      <c r="F114" s="50">
        <f t="shared" si="9"/>
        <v>360.11886557830832</v>
      </c>
    </row>
    <row r="115" spans="1:6" ht="12.9" customHeight="1" thickTop="1" thickBot="1" x14ac:dyDescent="0.3">
      <c r="A115" s="175" t="s">
        <v>70</v>
      </c>
      <c r="B115" s="47">
        <v>1</v>
      </c>
      <c r="C115" s="43">
        <f t="shared" si="11"/>
        <v>144407.66509690165</v>
      </c>
      <c r="D115" s="43">
        <f t="shared" si="10"/>
        <v>17328.919811628199</v>
      </c>
      <c r="E115" s="44">
        <f t="shared" si="8"/>
        <v>1444.0766509690166</v>
      </c>
      <c r="F115" s="44">
        <f t="shared" si="9"/>
        <v>361.01916274225414</v>
      </c>
    </row>
    <row r="116" spans="1:6" ht="12.9" customHeight="1" thickBot="1" x14ac:dyDescent="0.3">
      <c r="A116" s="169"/>
      <c r="B116" s="45">
        <v>2</v>
      </c>
      <c r="C116" s="43">
        <f t="shared" si="11"/>
        <v>144768.68425964389</v>
      </c>
      <c r="D116" s="43">
        <f t="shared" si="10"/>
        <v>17372.242111157266</v>
      </c>
      <c r="E116" s="44">
        <f t="shared" si="8"/>
        <v>1447.6868425964387</v>
      </c>
      <c r="F116" s="44">
        <f t="shared" si="9"/>
        <v>361.92171064910968</v>
      </c>
    </row>
    <row r="117" spans="1:6" ht="12.9" customHeight="1" thickBot="1" x14ac:dyDescent="0.3">
      <c r="A117" s="169"/>
      <c r="B117" s="45">
        <v>3</v>
      </c>
      <c r="C117" s="43">
        <f t="shared" si="11"/>
        <v>145130.60597029299</v>
      </c>
      <c r="D117" s="43">
        <f t="shared" si="10"/>
        <v>17415.672716435158</v>
      </c>
      <c r="E117" s="44">
        <f t="shared" si="8"/>
        <v>1451.3060597029298</v>
      </c>
      <c r="F117" s="44">
        <f t="shared" si="9"/>
        <v>362.82651492573245</v>
      </c>
    </row>
    <row r="118" spans="1:6" ht="12.9" customHeight="1" thickBot="1" x14ac:dyDescent="0.3">
      <c r="A118" s="173"/>
      <c r="B118" s="45">
        <v>4</v>
      </c>
      <c r="C118" s="43">
        <f t="shared" si="11"/>
        <v>145493.43248521871</v>
      </c>
      <c r="D118" s="43">
        <f t="shared" si="10"/>
        <v>17459.211898226244</v>
      </c>
      <c r="E118" s="44">
        <f t="shared" si="8"/>
        <v>1454.934324852187</v>
      </c>
      <c r="F118" s="44">
        <f t="shared" si="9"/>
        <v>363.73358121304676</v>
      </c>
    </row>
    <row r="119" spans="1:6" ht="12.9" customHeight="1" thickBot="1" x14ac:dyDescent="0.3">
      <c r="A119" s="172" t="s">
        <v>71</v>
      </c>
      <c r="B119" s="45">
        <v>1</v>
      </c>
      <c r="C119" s="43">
        <f t="shared" si="11"/>
        <v>145857.16606643176</v>
      </c>
      <c r="D119" s="43">
        <f t="shared" si="10"/>
        <v>17502.859927971811</v>
      </c>
      <c r="E119" s="44">
        <f t="shared" si="8"/>
        <v>1458.5716606643175</v>
      </c>
      <c r="F119" s="44">
        <f t="shared" si="9"/>
        <v>364.64291516607938</v>
      </c>
    </row>
    <row r="120" spans="1:6" ht="12.9" customHeight="1" thickBot="1" x14ac:dyDescent="0.3">
      <c r="A120" s="169"/>
      <c r="B120" s="45">
        <v>2</v>
      </c>
      <c r="C120" s="43">
        <f t="shared" si="11"/>
        <v>146221.80898159783</v>
      </c>
      <c r="D120" s="43">
        <f t="shared" si="10"/>
        <v>17546.61707779174</v>
      </c>
      <c r="E120" s="44">
        <f t="shared" si="8"/>
        <v>1462.2180898159784</v>
      </c>
      <c r="F120" s="44">
        <f t="shared" si="9"/>
        <v>365.55452245399459</v>
      </c>
    </row>
    <row r="121" spans="1:6" ht="13.8" thickBot="1" x14ac:dyDescent="0.3">
      <c r="A121" s="169"/>
      <c r="B121" s="45">
        <v>3</v>
      </c>
      <c r="C121" s="43">
        <f t="shared" si="11"/>
        <v>146587.36350405181</v>
      </c>
      <c r="D121" s="43">
        <f t="shared" si="10"/>
        <v>17590.483620486219</v>
      </c>
      <c r="E121" s="44">
        <f t="shared" si="8"/>
        <v>1465.8736350405181</v>
      </c>
      <c r="F121" s="44">
        <f t="shared" si="9"/>
        <v>366.46840876012953</v>
      </c>
    </row>
    <row r="122" spans="1:6" ht="13.8" thickBot="1" x14ac:dyDescent="0.3">
      <c r="A122" s="173"/>
      <c r="B122" s="45">
        <v>4</v>
      </c>
      <c r="C122" s="43">
        <f t="shared" si="11"/>
        <v>146953.83191281193</v>
      </c>
      <c r="D122" s="43">
        <f t="shared" si="10"/>
        <v>17634.459829537431</v>
      </c>
      <c r="E122" s="44">
        <f t="shared" si="8"/>
        <v>1469.5383191281192</v>
      </c>
      <c r="F122" s="44">
        <f t="shared" si="9"/>
        <v>367.38457978202979</v>
      </c>
    </row>
    <row r="123" spans="1:6" ht="13.8" thickBot="1" x14ac:dyDescent="0.3">
      <c r="A123" s="172" t="s">
        <v>72</v>
      </c>
      <c r="B123" s="45">
        <v>1</v>
      </c>
      <c r="C123" s="43">
        <f t="shared" si="11"/>
        <v>147321.21649259396</v>
      </c>
      <c r="D123" s="43">
        <f t="shared" si="10"/>
        <v>17678.545979111273</v>
      </c>
      <c r="E123" s="44">
        <f t="shared" si="8"/>
        <v>1473.2121649259395</v>
      </c>
      <c r="F123" s="44">
        <f t="shared" si="9"/>
        <v>368.30304123148488</v>
      </c>
    </row>
    <row r="124" spans="1:6" ht="13.8" thickBot="1" x14ac:dyDescent="0.3">
      <c r="A124" s="169"/>
      <c r="B124" s="45">
        <v>2</v>
      </c>
      <c r="C124" s="43">
        <f t="shared" si="11"/>
        <v>147689.51953382546</v>
      </c>
      <c r="D124" s="43">
        <f t="shared" si="10"/>
        <v>17722.742344059054</v>
      </c>
      <c r="E124" s="44">
        <f t="shared" si="8"/>
        <v>1476.8951953382546</v>
      </c>
      <c r="F124" s="44">
        <f t="shared" si="9"/>
        <v>369.22379883456364</v>
      </c>
    </row>
    <row r="125" spans="1:6" ht="13.8" thickBot="1" x14ac:dyDescent="0.3">
      <c r="A125" s="169"/>
      <c r="B125" s="45">
        <v>3</v>
      </c>
      <c r="C125" s="43">
        <f t="shared" si="11"/>
        <v>148058.74333266003</v>
      </c>
      <c r="D125" s="43">
        <f t="shared" si="10"/>
        <v>17767.049199919202</v>
      </c>
      <c r="E125" s="44">
        <f t="shared" si="8"/>
        <v>1480.5874333266001</v>
      </c>
      <c r="F125" s="44">
        <f t="shared" si="9"/>
        <v>370.14685833165004</v>
      </c>
    </row>
    <row r="126" spans="1:6" ht="13.8" thickBot="1" x14ac:dyDescent="0.3">
      <c r="A126" s="173"/>
      <c r="B126" s="45">
        <v>4</v>
      </c>
      <c r="C126" s="43">
        <f t="shared" si="11"/>
        <v>148428.89019099169</v>
      </c>
      <c r="D126" s="43">
        <f t="shared" si="10"/>
        <v>17811.466822919003</v>
      </c>
      <c r="E126" s="44">
        <f t="shared" si="8"/>
        <v>1484.2889019099168</v>
      </c>
      <c r="F126" s="44">
        <f t="shared" si="9"/>
        <v>371.07222547747921</v>
      </c>
    </row>
    <row r="127" spans="1:6" ht="13.8" thickBot="1" x14ac:dyDescent="0.3">
      <c r="A127" s="172" t="s">
        <v>73</v>
      </c>
      <c r="B127" s="45">
        <v>1</v>
      </c>
      <c r="C127" s="43">
        <f t="shared" si="11"/>
        <v>148799.96241646918</v>
      </c>
      <c r="D127" s="43">
        <f t="shared" si="10"/>
        <v>17855.9954899763</v>
      </c>
      <c r="E127" s="44">
        <f t="shared" si="8"/>
        <v>1487.9996241646916</v>
      </c>
      <c r="F127" s="44">
        <f t="shared" si="9"/>
        <v>371.99990604117289</v>
      </c>
    </row>
    <row r="128" spans="1:6" ht="13.8" thickBot="1" x14ac:dyDescent="0.3">
      <c r="A128" s="169"/>
      <c r="B128" s="45">
        <v>2</v>
      </c>
      <c r="C128" s="43">
        <f t="shared" si="11"/>
        <v>149171.96232251034</v>
      </c>
      <c r="D128" s="43">
        <f t="shared" si="10"/>
        <v>17900.635478701239</v>
      </c>
      <c r="E128" s="44">
        <f t="shared" si="8"/>
        <v>1491.7196232251033</v>
      </c>
      <c r="F128" s="44">
        <f t="shared" si="9"/>
        <v>372.92990580627583</v>
      </c>
    </row>
    <row r="129" spans="1:6" ht="13.8" thickBot="1" x14ac:dyDescent="0.3">
      <c r="A129" s="169"/>
      <c r="B129" s="45">
        <v>3</v>
      </c>
      <c r="C129" s="43">
        <f t="shared" si="11"/>
        <v>149544.89222831663</v>
      </c>
      <c r="D129" s="43">
        <f t="shared" si="10"/>
        <v>17945.387067397995</v>
      </c>
      <c r="E129" s="44">
        <f t="shared" si="8"/>
        <v>1495.4489222831662</v>
      </c>
      <c r="F129" s="44">
        <f t="shared" si="9"/>
        <v>373.86223057079155</v>
      </c>
    </row>
    <row r="130" spans="1:6" ht="13.8" thickBot="1" x14ac:dyDescent="0.3">
      <c r="A130" s="173"/>
      <c r="B130" s="45">
        <v>4</v>
      </c>
      <c r="C130" s="43">
        <f t="shared" si="11"/>
        <v>149918.75445888742</v>
      </c>
      <c r="D130" s="43">
        <f t="shared" si="10"/>
        <v>17990.250535066491</v>
      </c>
      <c r="E130" s="44">
        <f t="shared" si="8"/>
        <v>1499.1875445888743</v>
      </c>
      <c r="F130" s="44">
        <f t="shared" si="9"/>
        <v>374.79688614721857</v>
      </c>
    </row>
    <row r="131" spans="1:6" ht="13.8" thickBot="1" x14ac:dyDescent="0.3">
      <c r="A131" s="172" t="s">
        <v>74</v>
      </c>
      <c r="B131" s="45">
        <v>1</v>
      </c>
      <c r="C131" s="43">
        <f t="shared" si="11"/>
        <v>150293.55134503465</v>
      </c>
      <c r="D131" s="43">
        <f t="shared" si="10"/>
        <v>18035.226161404156</v>
      </c>
      <c r="E131" s="44">
        <f t="shared" si="8"/>
        <v>1502.9355134503464</v>
      </c>
      <c r="F131" s="44">
        <f t="shared" si="9"/>
        <v>375.73387836258661</v>
      </c>
    </row>
    <row r="132" spans="1:6" ht="13.8" thickBot="1" x14ac:dyDescent="0.3">
      <c r="A132" s="169"/>
      <c r="B132" s="45">
        <v>2</v>
      </c>
      <c r="C132" s="43">
        <f t="shared" si="11"/>
        <v>150669.28522339722</v>
      </c>
      <c r="D132" s="43">
        <f t="shared" si="10"/>
        <v>18080.314226807666</v>
      </c>
      <c r="E132" s="44">
        <f t="shared" si="8"/>
        <v>1506.6928522339722</v>
      </c>
      <c r="F132" s="44">
        <f t="shared" si="9"/>
        <v>376.67321305849305</v>
      </c>
    </row>
    <row r="133" spans="1:6" ht="13.8" thickBot="1" x14ac:dyDescent="0.3">
      <c r="A133" s="169"/>
      <c r="B133" s="45">
        <v>3</v>
      </c>
      <c r="C133" s="43">
        <f t="shared" si="11"/>
        <v>151045.95843645572</v>
      </c>
      <c r="D133" s="43">
        <f t="shared" si="10"/>
        <v>18125.515012374686</v>
      </c>
      <c r="E133" s="44">
        <f t="shared" si="8"/>
        <v>1510.4595843645573</v>
      </c>
      <c r="F133" s="44">
        <f t="shared" si="9"/>
        <v>377.61489609113931</v>
      </c>
    </row>
    <row r="134" spans="1:6" ht="13.8" thickBot="1" x14ac:dyDescent="0.3">
      <c r="A134" s="173"/>
      <c r="B134" s="45">
        <v>4</v>
      </c>
      <c r="C134" s="43">
        <f t="shared" si="11"/>
        <v>151423.57333254686</v>
      </c>
      <c r="D134" s="43">
        <f t="shared" si="10"/>
        <v>18170.828799905623</v>
      </c>
      <c r="E134" s="44">
        <f t="shared" ref="E134:E197" si="12">D134/12</f>
        <v>1514.2357333254686</v>
      </c>
      <c r="F134" s="44">
        <f t="shared" ref="F134:F197" si="13">E134/4</f>
        <v>378.55893333136714</v>
      </c>
    </row>
    <row r="135" spans="1:6" ht="13.8" thickBot="1" x14ac:dyDescent="0.3">
      <c r="A135" s="172" t="s">
        <v>75</v>
      </c>
      <c r="B135" s="45">
        <v>1</v>
      </c>
      <c r="C135" s="43">
        <f t="shared" si="11"/>
        <v>151802.13226587823</v>
      </c>
      <c r="D135" s="43">
        <f t="shared" ref="D135:D198" si="14">C135*$F$2</f>
        <v>18216.255871905389</v>
      </c>
      <c r="E135" s="44">
        <f t="shared" si="12"/>
        <v>1518.0213226587823</v>
      </c>
      <c r="F135" s="44">
        <f t="shared" si="13"/>
        <v>379.50533066469558</v>
      </c>
    </row>
    <row r="136" spans="1:6" ht="13.8" thickBot="1" x14ac:dyDescent="0.3">
      <c r="A136" s="169"/>
      <c r="B136" s="45">
        <v>2</v>
      </c>
      <c r="C136" s="43">
        <f t="shared" si="11"/>
        <v>152181.63759654292</v>
      </c>
      <c r="D136" s="43">
        <f t="shared" si="14"/>
        <v>18261.796511585151</v>
      </c>
      <c r="E136" s="44">
        <f t="shared" si="12"/>
        <v>1521.8163759654292</v>
      </c>
      <c r="F136" s="44">
        <f t="shared" si="13"/>
        <v>380.4540939913573</v>
      </c>
    </row>
    <row r="137" spans="1:6" ht="13.8" thickBot="1" x14ac:dyDescent="0.3">
      <c r="A137" s="169"/>
      <c r="B137" s="45">
        <v>3</v>
      </c>
      <c r="C137" s="43">
        <f t="shared" si="11"/>
        <v>152562.09169053429</v>
      </c>
      <c r="D137" s="43">
        <f t="shared" si="14"/>
        <v>18307.451002864113</v>
      </c>
      <c r="E137" s="44">
        <f t="shared" si="12"/>
        <v>1525.6209169053427</v>
      </c>
      <c r="F137" s="44">
        <f t="shared" si="13"/>
        <v>381.40522922633568</v>
      </c>
    </row>
    <row r="138" spans="1:6" ht="13.8" thickBot="1" x14ac:dyDescent="0.3">
      <c r="A138" s="173"/>
      <c r="B138" s="45">
        <v>4</v>
      </c>
      <c r="C138" s="43">
        <f t="shared" si="11"/>
        <v>152943.49691976063</v>
      </c>
      <c r="D138" s="43">
        <f t="shared" si="14"/>
        <v>18353.219630371274</v>
      </c>
      <c r="E138" s="44">
        <f t="shared" si="12"/>
        <v>1529.4349691976061</v>
      </c>
      <c r="F138" s="44">
        <f t="shared" si="13"/>
        <v>382.35874229940151</v>
      </c>
    </row>
    <row r="139" spans="1:6" ht="13.8" thickBot="1" x14ac:dyDescent="0.3">
      <c r="A139" s="172" t="s">
        <v>76</v>
      </c>
      <c r="B139" s="45">
        <v>1</v>
      </c>
      <c r="C139" s="43">
        <f t="shared" ref="C139:C202" si="15">IF(B139=1,C138+F138+$B$3,C138+F138)</f>
        <v>153325.85566206003</v>
      </c>
      <c r="D139" s="43">
        <f t="shared" si="14"/>
        <v>18399.102679447202</v>
      </c>
      <c r="E139" s="44">
        <f t="shared" si="12"/>
        <v>1533.2585566206001</v>
      </c>
      <c r="F139" s="44">
        <f t="shared" si="13"/>
        <v>383.31463915515002</v>
      </c>
    </row>
    <row r="140" spans="1:6" ht="13.8" thickBot="1" x14ac:dyDescent="0.3">
      <c r="A140" s="169"/>
      <c r="B140" s="45">
        <v>2</v>
      </c>
      <c r="C140" s="43">
        <f t="shared" si="15"/>
        <v>153709.17030121517</v>
      </c>
      <c r="D140" s="43">
        <f t="shared" si="14"/>
        <v>18445.100436145818</v>
      </c>
      <c r="E140" s="44">
        <f t="shared" si="12"/>
        <v>1537.0917030121516</v>
      </c>
      <c r="F140" s="44">
        <f t="shared" si="13"/>
        <v>384.2729257530379</v>
      </c>
    </row>
    <row r="141" spans="1:6" ht="13.8" thickBot="1" x14ac:dyDescent="0.3">
      <c r="A141" s="169"/>
      <c r="B141" s="45">
        <v>3</v>
      </c>
      <c r="C141" s="43">
        <f t="shared" si="15"/>
        <v>154093.4432269682</v>
      </c>
      <c r="D141" s="43">
        <f t="shared" si="14"/>
        <v>18491.213187236182</v>
      </c>
      <c r="E141" s="44">
        <f t="shared" si="12"/>
        <v>1540.9344322696818</v>
      </c>
      <c r="F141" s="44">
        <f t="shared" si="13"/>
        <v>385.23360806742045</v>
      </c>
    </row>
    <row r="142" spans="1:6" ht="13.8" thickBot="1" x14ac:dyDescent="0.3">
      <c r="A142" s="173"/>
      <c r="B142" s="45">
        <v>4</v>
      </c>
      <c r="C142" s="43">
        <f t="shared" si="15"/>
        <v>154478.67683503561</v>
      </c>
      <c r="D142" s="43">
        <f t="shared" si="14"/>
        <v>18537.441220204273</v>
      </c>
      <c r="E142" s="44">
        <f t="shared" si="12"/>
        <v>1544.7867683503562</v>
      </c>
      <c r="F142" s="44">
        <f t="shared" si="13"/>
        <v>386.19669208758904</v>
      </c>
    </row>
    <row r="143" spans="1:6" ht="13.8" thickBot="1" x14ac:dyDescent="0.3">
      <c r="A143" s="172" t="s">
        <v>77</v>
      </c>
      <c r="B143" s="45">
        <v>1</v>
      </c>
      <c r="C143" s="43">
        <f t="shared" si="15"/>
        <v>154864.87352712321</v>
      </c>
      <c r="D143" s="43">
        <f t="shared" si="14"/>
        <v>18583.784823254784</v>
      </c>
      <c r="E143" s="44">
        <f t="shared" si="12"/>
        <v>1548.648735271232</v>
      </c>
      <c r="F143" s="44">
        <f t="shared" si="13"/>
        <v>387.162183817808</v>
      </c>
    </row>
    <row r="144" spans="1:6" ht="13.8" thickBot="1" x14ac:dyDescent="0.3">
      <c r="A144" s="169"/>
      <c r="B144" s="45">
        <v>2</v>
      </c>
      <c r="C144" s="43">
        <f t="shared" si="15"/>
        <v>155252.03571094101</v>
      </c>
      <c r="D144" s="43">
        <f t="shared" si="14"/>
        <v>18630.244285312921</v>
      </c>
      <c r="E144" s="44">
        <f t="shared" si="12"/>
        <v>1552.52035710941</v>
      </c>
      <c r="F144" s="44">
        <f t="shared" si="13"/>
        <v>388.13008927735251</v>
      </c>
    </row>
    <row r="145" spans="1:6" ht="13.8" thickBot="1" x14ac:dyDescent="0.3">
      <c r="A145" s="169"/>
      <c r="B145" s="45">
        <v>3</v>
      </c>
      <c r="C145" s="43">
        <f t="shared" si="15"/>
        <v>155640.16580021835</v>
      </c>
      <c r="D145" s="43">
        <f t="shared" si="14"/>
        <v>18676.819896026202</v>
      </c>
      <c r="E145" s="44">
        <f t="shared" si="12"/>
        <v>1556.4016580021835</v>
      </c>
      <c r="F145" s="44">
        <f t="shared" si="13"/>
        <v>389.10041450054587</v>
      </c>
    </row>
    <row r="146" spans="1:6" ht="13.8" thickBot="1" x14ac:dyDescent="0.3">
      <c r="A146" s="173"/>
      <c r="B146" s="45">
        <v>4</v>
      </c>
      <c r="C146" s="43">
        <f t="shared" si="15"/>
        <v>156029.2662147189</v>
      </c>
      <c r="D146" s="43">
        <f t="shared" si="14"/>
        <v>18723.511945766266</v>
      </c>
      <c r="E146" s="44">
        <f t="shared" si="12"/>
        <v>1560.2926621471888</v>
      </c>
      <c r="F146" s="44">
        <f t="shared" si="13"/>
        <v>390.07316553679721</v>
      </c>
    </row>
    <row r="147" spans="1:6" ht="13.8" thickBot="1" x14ac:dyDescent="0.3">
      <c r="A147" s="172" t="s">
        <v>78</v>
      </c>
      <c r="B147" s="45">
        <v>1</v>
      </c>
      <c r="C147" s="43">
        <f t="shared" si="15"/>
        <v>156419.3393802557</v>
      </c>
      <c r="D147" s="43">
        <f t="shared" si="14"/>
        <v>18770.320725630681</v>
      </c>
      <c r="E147" s="44">
        <f t="shared" si="12"/>
        <v>1564.1933938025568</v>
      </c>
      <c r="F147" s="44">
        <f t="shared" si="13"/>
        <v>391.0483484506392</v>
      </c>
    </row>
    <row r="148" spans="1:6" ht="13.8" thickBot="1" x14ac:dyDescent="0.3">
      <c r="A148" s="169"/>
      <c r="B148" s="45">
        <v>2</v>
      </c>
      <c r="C148" s="43">
        <f t="shared" si="15"/>
        <v>156810.38772870632</v>
      </c>
      <c r="D148" s="43">
        <f t="shared" si="14"/>
        <v>18817.246527444757</v>
      </c>
      <c r="E148" s="44">
        <f t="shared" si="12"/>
        <v>1568.1038772870631</v>
      </c>
      <c r="F148" s="44">
        <f t="shared" si="13"/>
        <v>392.02596932176579</v>
      </c>
    </row>
    <row r="149" spans="1:6" ht="13.8" thickBot="1" x14ac:dyDescent="0.3">
      <c r="A149" s="169"/>
      <c r="B149" s="45">
        <v>3</v>
      </c>
      <c r="C149" s="43">
        <f t="shared" si="15"/>
        <v>157202.41369802807</v>
      </c>
      <c r="D149" s="43">
        <f t="shared" si="14"/>
        <v>18864.289643763368</v>
      </c>
      <c r="E149" s="44">
        <f t="shared" si="12"/>
        <v>1572.0241369802807</v>
      </c>
      <c r="F149" s="44">
        <f t="shared" si="13"/>
        <v>393.00603424507017</v>
      </c>
    </row>
    <row r="150" spans="1:6" ht="13.8" thickBot="1" x14ac:dyDescent="0.3">
      <c r="A150" s="173"/>
      <c r="B150" s="45">
        <v>4</v>
      </c>
      <c r="C150" s="43">
        <f t="shared" si="15"/>
        <v>157595.41973227315</v>
      </c>
      <c r="D150" s="43">
        <f t="shared" si="14"/>
        <v>18911.450367872778</v>
      </c>
      <c r="E150" s="44">
        <f t="shared" si="12"/>
        <v>1575.9541973227315</v>
      </c>
      <c r="F150" s="44">
        <f t="shared" si="13"/>
        <v>393.98854933068287</v>
      </c>
    </row>
    <row r="151" spans="1:6" ht="13.8" thickBot="1" x14ac:dyDescent="0.3">
      <c r="A151" s="172" t="s">
        <v>79</v>
      </c>
      <c r="B151" s="45">
        <v>1</v>
      </c>
      <c r="C151" s="43">
        <f t="shared" si="15"/>
        <v>157989.40828160383</v>
      </c>
      <c r="D151" s="43">
        <f t="shared" si="14"/>
        <v>18958.728993792458</v>
      </c>
      <c r="E151" s="44">
        <f t="shared" si="12"/>
        <v>1579.8940828160382</v>
      </c>
      <c r="F151" s="44">
        <f t="shared" si="13"/>
        <v>394.97352070400956</v>
      </c>
    </row>
    <row r="152" spans="1:6" ht="13.8" thickBot="1" x14ac:dyDescent="0.3">
      <c r="A152" s="169"/>
      <c r="B152" s="45">
        <v>2</v>
      </c>
      <c r="C152" s="43">
        <f t="shared" si="15"/>
        <v>158384.38180230785</v>
      </c>
      <c r="D152" s="43">
        <f t="shared" si="14"/>
        <v>19006.125816276941</v>
      </c>
      <c r="E152" s="44">
        <f t="shared" si="12"/>
        <v>1583.8438180230785</v>
      </c>
      <c r="F152" s="44">
        <f t="shared" si="13"/>
        <v>395.96095450576962</v>
      </c>
    </row>
    <row r="153" spans="1:6" ht="13.8" thickBot="1" x14ac:dyDescent="0.3">
      <c r="A153" s="169"/>
      <c r="B153" s="45">
        <v>3</v>
      </c>
      <c r="C153" s="43">
        <f t="shared" si="15"/>
        <v>158780.34275681362</v>
      </c>
      <c r="D153" s="43">
        <f t="shared" si="14"/>
        <v>19053.641130817636</v>
      </c>
      <c r="E153" s="44">
        <f t="shared" si="12"/>
        <v>1587.8034275681364</v>
      </c>
      <c r="F153" s="44">
        <f t="shared" si="13"/>
        <v>396.9508568920341</v>
      </c>
    </row>
    <row r="154" spans="1:6" ht="13.8" thickBot="1" x14ac:dyDescent="0.3">
      <c r="A154" s="173"/>
      <c r="B154" s="45">
        <v>4</v>
      </c>
      <c r="C154" s="43">
        <f t="shared" si="15"/>
        <v>159177.29361370567</v>
      </c>
      <c r="D154" s="43">
        <f t="shared" si="14"/>
        <v>19101.275233644679</v>
      </c>
      <c r="E154" s="44">
        <f t="shared" si="12"/>
        <v>1591.7729361370566</v>
      </c>
      <c r="F154" s="44">
        <f t="shared" si="13"/>
        <v>397.94323403426415</v>
      </c>
    </row>
    <row r="155" spans="1:6" ht="13.8" thickBot="1" x14ac:dyDescent="0.3">
      <c r="A155" s="172" t="s">
        <v>80</v>
      </c>
      <c r="B155" s="45">
        <v>1</v>
      </c>
      <c r="C155" s="43">
        <f t="shared" si="15"/>
        <v>159575.23684773993</v>
      </c>
      <c r="D155" s="43">
        <f t="shared" si="14"/>
        <v>19149.028421728792</v>
      </c>
      <c r="E155" s="44">
        <f t="shared" si="12"/>
        <v>1595.7523684773994</v>
      </c>
      <c r="F155" s="44">
        <f t="shared" si="13"/>
        <v>398.93809211934985</v>
      </c>
    </row>
    <row r="156" spans="1:6" ht="13.8" thickBot="1" x14ac:dyDescent="0.3">
      <c r="A156" s="169"/>
      <c r="B156" s="45">
        <v>2</v>
      </c>
      <c r="C156" s="43">
        <f t="shared" si="15"/>
        <v>159974.17493985928</v>
      </c>
      <c r="D156" s="43">
        <f t="shared" si="14"/>
        <v>19196.900992783114</v>
      </c>
      <c r="E156" s="44">
        <f t="shared" si="12"/>
        <v>1599.7417493985929</v>
      </c>
      <c r="F156" s="44">
        <f t="shared" si="13"/>
        <v>399.93543734964823</v>
      </c>
    </row>
    <row r="157" spans="1:6" ht="13.8" thickBot="1" x14ac:dyDescent="0.3">
      <c r="A157" s="169"/>
      <c r="B157" s="45">
        <v>3</v>
      </c>
      <c r="C157" s="43">
        <f t="shared" si="15"/>
        <v>160374.11037720894</v>
      </c>
      <c r="D157" s="43">
        <f t="shared" si="14"/>
        <v>19244.893245265073</v>
      </c>
      <c r="E157" s="44">
        <f t="shared" si="12"/>
        <v>1603.7411037720894</v>
      </c>
      <c r="F157" s="44">
        <f t="shared" si="13"/>
        <v>400.93527594302236</v>
      </c>
    </row>
    <row r="158" spans="1:6" ht="13.8" thickBot="1" x14ac:dyDescent="0.3">
      <c r="A158" s="173"/>
      <c r="B158" s="45">
        <v>4</v>
      </c>
      <c r="C158" s="43">
        <f t="shared" si="15"/>
        <v>160775.04565315196</v>
      </c>
      <c r="D158" s="43">
        <f t="shared" si="14"/>
        <v>19293.005478378236</v>
      </c>
      <c r="E158" s="44">
        <f t="shared" si="12"/>
        <v>1607.7504565315196</v>
      </c>
      <c r="F158" s="44">
        <f t="shared" si="13"/>
        <v>401.9376141328799</v>
      </c>
    </row>
    <row r="159" spans="1:6" ht="13.8" thickBot="1" x14ac:dyDescent="0.3">
      <c r="A159" s="172" t="s">
        <v>81</v>
      </c>
      <c r="B159" s="45">
        <v>1</v>
      </c>
      <c r="C159" s="43">
        <f t="shared" si="15"/>
        <v>161176.98326728484</v>
      </c>
      <c r="D159" s="43">
        <f t="shared" si="14"/>
        <v>19341.237992074181</v>
      </c>
      <c r="E159" s="44">
        <f t="shared" si="12"/>
        <v>1611.7698326728485</v>
      </c>
      <c r="F159" s="44">
        <f t="shared" si="13"/>
        <v>402.94245816821211</v>
      </c>
    </row>
    <row r="160" spans="1:6" ht="13.8" thickBot="1" x14ac:dyDescent="0.3">
      <c r="A160" s="169"/>
      <c r="B160" s="45">
        <v>2</v>
      </c>
      <c r="C160" s="43">
        <f t="shared" si="15"/>
        <v>161579.92572545307</v>
      </c>
      <c r="D160" s="43">
        <f t="shared" si="14"/>
        <v>19389.591087054367</v>
      </c>
      <c r="E160" s="44">
        <f t="shared" si="12"/>
        <v>1615.7992572545306</v>
      </c>
      <c r="F160" s="44">
        <f t="shared" si="13"/>
        <v>403.94981431363266</v>
      </c>
    </row>
    <row r="161" spans="1:6" ht="13.8" thickBot="1" x14ac:dyDescent="0.3">
      <c r="A161" s="169"/>
      <c r="B161" s="45">
        <v>3</v>
      </c>
      <c r="C161" s="43">
        <f t="shared" si="15"/>
        <v>161983.87553976671</v>
      </c>
      <c r="D161" s="43">
        <f t="shared" si="14"/>
        <v>19438.065064772003</v>
      </c>
      <c r="E161" s="44">
        <f t="shared" si="12"/>
        <v>1619.838755397667</v>
      </c>
      <c r="F161" s="44">
        <f t="shared" si="13"/>
        <v>404.95968884941675</v>
      </c>
    </row>
    <row r="162" spans="1:6" x14ac:dyDescent="0.25">
      <c r="A162" s="173"/>
      <c r="B162" s="45">
        <v>4</v>
      </c>
      <c r="C162" s="43">
        <f t="shared" si="15"/>
        <v>162388.83522861614</v>
      </c>
      <c r="D162" s="43">
        <f t="shared" si="14"/>
        <v>19486.660227433935</v>
      </c>
      <c r="E162" s="44">
        <f t="shared" si="12"/>
        <v>1623.8883522861613</v>
      </c>
      <c r="F162" s="44">
        <f t="shared" si="13"/>
        <v>405.97208807154033</v>
      </c>
    </row>
    <row r="163" spans="1:6" ht="13.8" thickBot="1" x14ac:dyDescent="0.3">
      <c r="A163" s="175" t="s">
        <v>82</v>
      </c>
      <c r="B163" s="47">
        <v>1</v>
      </c>
      <c r="C163" s="43">
        <f t="shared" si="15"/>
        <v>162794.80731668769</v>
      </c>
      <c r="D163" s="43">
        <f t="shared" si="14"/>
        <v>19535.37687800252</v>
      </c>
      <c r="E163" s="44">
        <f t="shared" si="12"/>
        <v>1627.9480731668766</v>
      </c>
      <c r="F163" s="44">
        <f t="shared" si="13"/>
        <v>406.98701829171915</v>
      </c>
    </row>
    <row r="164" spans="1:6" ht="13.8" thickBot="1" x14ac:dyDescent="0.3">
      <c r="A164" s="169"/>
      <c r="B164" s="45">
        <v>2</v>
      </c>
      <c r="C164" s="43">
        <f t="shared" si="15"/>
        <v>163201.79433497941</v>
      </c>
      <c r="D164" s="43">
        <f t="shared" si="14"/>
        <v>19584.215320197527</v>
      </c>
      <c r="E164" s="44">
        <f t="shared" si="12"/>
        <v>1632.017943349794</v>
      </c>
      <c r="F164" s="44">
        <f t="shared" si="13"/>
        <v>408.0044858374485</v>
      </c>
    </row>
    <row r="165" spans="1:6" ht="13.8" thickBot="1" x14ac:dyDescent="0.3">
      <c r="A165" s="169"/>
      <c r="B165" s="45">
        <v>3</v>
      </c>
      <c r="C165" s="43">
        <f t="shared" si="15"/>
        <v>163609.79882081685</v>
      </c>
      <c r="D165" s="43">
        <f t="shared" si="14"/>
        <v>19633.175858498023</v>
      </c>
      <c r="E165" s="44">
        <f t="shared" si="12"/>
        <v>1636.0979882081685</v>
      </c>
      <c r="F165" s="44">
        <f t="shared" si="13"/>
        <v>409.02449705204214</v>
      </c>
    </row>
    <row r="166" spans="1:6" ht="13.8" thickBot="1" x14ac:dyDescent="0.3">
      <c r="A166" s="173"/>
      <c r="B166" s="45">
        <v>4</v>
      </c>
      <c r="C166" s="43">
        <f t="shared" si="15"/>
        <v>164018.8233178689</v>
      </c>
      <c r="D166" s="43">
        <f t="shared" si="14"/>
        <v>19682.258798144267</v>
      </c>
      <c r="E166" s="44">
        <f t="shared" si="12"/>
        <v>1640.188233178689</v>
      </c>
      <c r="F166" s="44">
        <f t="shared" si="13"/>
        <v>410.04705829467224</v>
      </c>
    </row>
    <row r="167" spans="1:6" ht="13.8" thickBot="1" x14ac:dyDescent="0.3">
      <c r="A167" s="172" t="s">
        <v>83</v>
      </c>
      <c r="B167" s="45">
        <v>1</v>
      </c>
      <c r="C167" s="43">
        <f t="shared" si="15"/>
        <v>164428.87037616357</v>
      </c>
      <c r="D167" s="43">
        <f t="shared" si="14"/>
        <v>19731.464445139627</v>
      </c>
      <c r="E167" s="44">
        <f t="shared" si="12"/>
        <v>1644.2887037616356</v>
      </c>
      <c r="F167" s="44">
        <f t="shared" si="13"/>
        <v>411.0721759404089</v>
      </c>
    </row>
    <row r="168" spans="1:6" ht="13.8" thickBot="1" x14ac:dyDescent="0.3">
      <c r="A168" s="169"/>
      <c r="B168" s="45">
        <v>2</v>
      </c>
      <c r="C168" s="43">
        <f t="shared" si="15"/>
        <v>164839.94255210398</v>
      </c>
      <c r="D168" s="43">
        <f t="shared" si="14"/>
        <v>19780.793106252477</v>
      </c>
      <c r="E168" s="44">
        <f t="shared" si="12"/>
        <v>1648.3994255210398</v>
      </c>
      <c r="F168" s="44">
        <f t="shared" si="13"/>
        <v>412.09985638025995</v>
      </c>
    </row>
    <row r="169" spans="1:6" ht="13.8" thickBot="1" x14ac:dyDescent="0.3">
      <c r="A169" s="169"/>
      <c r="B169" s="45">
        <v>3</v>
      </c>
      <c r="C169" s="43">
        <f t="shared" si="15"/>
        <v>165252.04240848424</v>
      </c>
      <c r="D169" s="43">
        <f t="shared" si="14"/>
        <v>19830.245089018106</v>
      </c>
      <c r="E169" s="44">
        <f t="shared" si="12"/>
        <v>1652.5204240848423</v>
      </c>
      <c r="F169" s="44">
        <f t="shared" si="13"/>
        <v>413.13010602121057</v>
      </c>
    </row>
    <row r="170" spans="1:6" ht="13.8" thickBot="1" x14ac:dyDescent="0.3">
      <c r="A170" s="173"/>
      <c r="B170" s="45">
        <v>4</v>
      </c>
      <c r="C170" s="43">
        <f t="shared" si="15"/>
        <v>165665.17251450545</v>
      </c>
      <c r="D170" s="43">
        <f t="shared" si="14"/>
        <v>19879.820701740653</v>
      </c>
      <c r="E170" s="44">
        <f t="shared" si="12"/>
        <v>1656.6517251450543</v>
      </c>
      <c r="F170" s="44">
        <f t="shared" si="13"/>
        <v>414.16293128626359</v>
      </c>
    </row>
    <row r="171" spans="1:6" ht="13.8" thickBot="1" x14ac:dyDescent="0.3">
      <c r="A171" s="172" t="s">
        <v>84</v>
      </c>
      <c r="B171" s="45">
        <v>1</v>
      </c>
      <c r="C171" s="43">
        <f t="shared" si="15"/>
        <v>166079.33544579172</v>
      </c>
      <c r="D171" s="43">
        <f t="shared" si="14"/>
        <v>19929.520253495004</v>
      </c>
      <c r="E171" s="44">
        <f t="shared" si="12"/>
        <v>1660.7933544579171</v>
      </c>
      <c r="F171" s="44">
        <f t="shared" si="13"/>
        <v>415.19833861447927</v>
      </c>
    </row>
    <row r="172" spans="1:6" ht="13.8" thickBot="1" x14ac:dyDescent="0.3">
      <c r="A172" s="169"/>
      <c r="B172" s="45">
        <v>2</v>
      </c>
      <c r="C172" s="43">
        <f t="shared" si="15"/>
        <v>166494.5337844062</v>
      </c>
      <c r="D172" s="43">
        <f t="shared" si="14"/>
        <v>19979.344054128742</v>
      </c>
      <c r="E172" s="44">
        <f t="shared" si="12"/>
        <v>1664.9453378440619</v>
      </c>
      <c r="F172" s="44">
        <f t="shared" si="13"/>
        <v>416.23633446101547</v>
      </c>
    </row>
    <row r="173" spans="1:6" ht="13.8" thickBot="1" x14ac:dyDescent="0.3">
      <c r="A173" s="169"/>
      <c r="B173" s="45">
        <v>3</v>
      </c>
      <c r="C173" s="43">
        <f t="shared" si="15"/>
        <v>166910.77011886722</v>
      </c>
      <c r="D173" s="43">
        <f t="shared" si="14"/>
        <v>20029.292414264066</v>
      </c>
      <c r="E173" s="44">
        <f t="shared" si="12"/>
        <v>1669.1077011886721</v>
      </c>
      <c r="F173" s="44">
        <f t="shared" si="13"/>
        <v>417.27692529716802</v>
      </c>
    </row>
    <row r="174" spans="1:6" ht="13.8" thickBot="1" x14ac:dyDescent="0.3">
      <c r="A174" s="173"/>
      <c r="B174" s="45">
        <v>4</v>
      </c>
      <c r="C174" s="43">
        <f t="shared" si="15"/>
        <v>167328.04704416438</v>
      </c>
      <c r="D174" s="43">
        <f t="shared" si="14"/>
        <v>20079.365645299724</v>
      </c>
      <c r="E174" s="44">
        <f t="shared" si="12"/>
        <v>1673.2804704416437</v>
      </c>
      <c r="F174" s="44">
        <f t="shared" si="13"/>
        <v>418.32011761041093</v>
      </c>
    </row>
    <row r="175" spans="1:6" ht="13.8" thickBot="1" x14ac:dyDescent="0.3">
      <c r="A175" s="172" t="s">
        <v>85</v>
      </c>
      <c r="B175" s="45">
        <v>1</v>
      </c>
      <c r="C175" s="43">
        <f t="shared" si="15"/>
        <v>167746.3671617748</v>
      </c>
      <c r="D175" s="43">
        <f t="shared" si="14"/>
        <v>20129.564059412976</v>
      </c>
      <c r="E175" s="44">
        <f t="shared" si="12"/>
        <v>1677.4636716177481</v>
      </c>
      <c r="F175" s="44">
        <f t="shared" si="13"/>
        <v>419.36591790443703</v>
      </c>
    </row>
    <row r="176" spans="1:6" ht="13.8" thickBot="1" x14ac:dyDescent="0.3">
      <c r="A176" s="169"/>
      <c r="B176" s="45">
        <v>2</v>
      </c>
      <c r="C176" s="43">
        <f t="shared" si="15"/>
        <v>168165.73307967925</v>
      </c>
      <c r="D176" s="43">
        <f t="shared" si="14"/>
        <v>20179.887969561511</v>
      </c>
      <c r="E176" s="44">
        <f t="shared" si="12"/>
        <v>1681.6573307967926</v>
      </c>
      <c r="F176" s="44">
        <f t="shared" si="13"/>
        <v>420.41433269919816</v>
      </c>
    </row>
    <row r="177" spans="1:6" ht="13.8" thickBot="1" x14ac:dyDescent="0.3">
      <c r="A177" s="169"/>
      <c r="B177" s="45">
        <v>3</v>
      </c>
      <c r="C177" s="43">
        <f t="shared" si="15"/>
        <v>168586.14741237846</v>
      </c>
      <c r="D177" s="43">
        <f t="shared" si="14"/>
        <v>20230.337689485415</v>
      </c>
      <c r="E177" s="44">
        <f t="shared" si="12"/>
        <v>1685.8614741237845</v>
      </c>
      <c r="F177" s="44">
        <f t="shared" si="13"/>
        <v>421.46536853094614</v>
      </c>
    </row>
    <row r="178" spans="1:6" ht="13.8" thickBot="1" x14ac:dyDescent="0.3">
      <c r="A178" s="173"/>
      <c r="B178" s="45">
        <v>4</v>
      </c>
      <c r="C178" s="43">
        <f t="shared" si="15"/>
        <v>169007.6127809094</v>
      </c>
      <c r="D178" s="43">
        <f t="shared" si="14"/>
        <v>20280.913533709128</v>
      </c>
      <c r="E178" s="44">
        <f t="shared" si="12"/>
        <v>1690.076127809094</v>
      </c>
      <c r="F178" s="44">
        <f t="shared" si="13"/>
        <v>422.51903195227351</v>
      </c>
    </row>
    <row r="179" spans="1:6" ht="13.8" thickBot="1" x14ac:dyDescent="0.3">
      <c r="A179" s="172" t="s">
        <v>86</v>
      </c>
      <c r="B179" s="45">
        <v>1</v>
      </c>
      <c r="C179" s="43">
        <f t="shared" si="15"/>
        <v>169430.13181286168</v>
      </c>
      <c r="D179" s="43">
        <f t="shared" si="14"/>
        <v>20331.615817543403</v>
      </c>
      <c r="E179" s="44">
        <f t="shared" si="12"/>
        <v>1694.3013181286169</v>
      </c>
      <c r="F179" s="44">
        <f t="shared" si="13"/>
        <v>423.57532953215423</v>
      </c>
    </row>
    <row r="180" spans="1:6" ht="13.8" thickBot="1" x14ac:dyDescent="0.3">
      <c r="A180" s="169"/>
      <c r="B180" s="45">
        <v>2</v>
      </c>
      <c r="C180" s="43">
        <f t="shared" si="15"/>
        <v>169853.70714239383</v>
      </c>
      <c r="D180" s="43">
        <f t="shared" si="14"/>
        <v>20382.444857087259</v>
      </c>
      <c r="E180" s="44">
        <f t="shared" si="12"/>
        <v>1698.5370714239382</v>
      </c>
      <c r="F180" s="44">
        <f t="shared" si="13"/>
        <v>424.63426785598455</v>
      </c>
    </row>
    <row r="181" spans="1:6" ht="13.8" thickBot="1" x14ac:dyDescent="0.3">
      <c r="A181" s="169"/>
      <c r="B181" s="45">
        <v>3</v>
      </c>
      <c r="C181" s="43">
        <f t="shared" si="15"/>
        <v>170278.34141024982</v>
      </c>
      <c r="D181" s="43">
        <f t="shared" si="14"/>
        <v>20433.400969229977</v>
      </c>
      <c r="E181" s="44">
        <f t="shared" si="12"/>
        <v>1702.783414102498</v>
      </c>
      <c r="F181" s="44">
        <f t="shared" si="13"/>
        <v>425.6958535256245</v>
      </c>
    </row>
    <row r="182" spans="1:6" ht="13.8" thickBot="1" x14ac:dyDescent="0.3">
      <c r="A182" s="173"/>
      <c r="B182" s="45">
        <v>4</v>
      </c>
      <c r="C182" s="43">
        <f t="shared" si="15"/>
        <v>170704.03726377545</v>
      </c>
      <c r="D182" s="43">
        <f t="shared" si="14"/>
        <v>20484.484471653053</v>
      </c>
      <c r="E182" s="44">
        <f t="shared" si="12"/>
        <v>1707.0403726377544</v>
      </c>
      <c r="F182" s="44">
        <f t="shared" si="13"/>
        <v>426.76009315943861</v>
      </c>
    </row>
    <row r="183" spans="1:6" ht="13.8" thickBot="1" x14ac:dyDescent="0.3">
      <c r="A183" s="172" t="s">
        <v>87</v>
      </c>
      <c r="B183" s="45">
        <v>1</v>
      </c>
      <c r="C183" s="43">
        <f t="shared" si="15"/>
        <v>171130.7973569349</v>
      </c>
      <c r="D183" s="43">
        <f t="shared" si="14"/>
        <v>20535.695682832185</v>
      </c>
      <c r="E183" s="44">
        <f t="shared" si="12"/>
        <v>1711.3079735693489</v>
      </c>
      <c r="F183" s="44">
        <f t="shared" si="13"/>
        <v>427.82699339233722</v>
      </c>
    </row>
    <row r="184" spans="1:6" ht="13.8" thickBot="1" x14ac:dyDescent="0.3">
      <c r="A184" s="169"/>
      <c r="B184" s="45">
        <v>2</v>
      </c>
      <c r="C184" s="43">
        <f t="shared" si="15"/>
        <v>171558.62435032724</v>
      </c>
      <c r="D184" s="43">
        <f t="shared" si="14"/>
        <v>20587.034922039267</v>
      </c>
      <c r="E184" s="44">
        <f t="shared" si="12"/>
        <v>1715.5862435032723</v>
      </c>
      <c r="F184" s="44">
        <f t="shared" si="13"/>
        <v>428.89656087581807</v>
      </c>
    </row>
    <row r="185" spans="1:6" ht="13.8" thickBot="1" x14ac:dyDescent="0.3">
      <c r="A185" s="169"/>
      <c r="B185" s="45">
        <v>3</v>
      </c>
      <c r="C185" s="43">
        <f t="shared" si="15"/>
        <v>171987.52091120306</v>
      </c>
      <c r="D185" s="43">
        <f t="shared" si="14"/>
        <v>20638.502509344366</v>
      </c>
      <c r="E185" s="44">
        <f t="shared" si="12"/>
        <v>1719.8752091120305</v>
      </c>
      <c r="F185" s="44">
        <f t="shared" si="13"/>
        <v>429.96880227800762</v>
      </c>
    </row>
    <row r="186" spans="1:6" ht="13.8" thickBot="1" x14ac:dyDescent="0.3">
      <c r="A186" s="173"/>
      <c r="B186" s="45">
        <v>4</v>
      </c>
      <c r="C186" s="43">
        <f t="shared" si="15"/>
        <v>172417.48971348107</v>
      </c>
      <c r="D186" s="43">
        <f t="shared" si="14"/>
        <v>20690.098765617728</v>
      </c>
      <c r="E186" s="44">
        <f t="shared" si="12"/>
        <v>1724.1748971348106</v>
      </c>
      <c r="F186" s="44">
        <f t="shared" si="13"/>
        <v>431.04372428370266</v>
      </c>
    </row>
    <row r="187" spans="1:6" ht="13.8" thickBot="1" x14ac:dyDescent="0.3">
      <c r="A187" s="172" t="s">
        <v>88</v>
      </c>
      <c r="B187" s="45">
        <v>1</v>
      </c>
      <c r="C187" s="43">
        <f t="shared" si="15"/>
        <v>172848.53343776477</v>
      </c>
      <c r="D187" s="43">
        <f t="shared" si="14"/>
        <v>20741.824012531772</v>
      </c>
      <c r="E187" s="44">
        <f t="shared" si="12"/>
        <v>1728.4853343776476</v>
      </c>
      <c r="F187" s="44">
        <f t="shared" si="13"/>
        <v>432.12133359441191</v>
      </c>
    </row>
    <row r="188" spans="1:6" ht="13.8" thickBot="1" x14ac:dyDescent="0.3">
      <c r="A188" s="169"/>
      <c r="B188" s="45">
        <v>2</v>
      </c>
      <c r="C188" s="43">
        <f t="shared" si="15"/>
        <v>173280.65477135917</v>
      </c>
      <c r="D188" s="43">
        <f t="shared" si="14"/>
        <v>20793.678572563102</v>
      </c>
      <c r="E188" s="44">
        <f t="shared" si="12"/>
        <v>1732.8065477135917</v>
      </c>
      <c r="F188" s="44">
        <f t="shared" si="13"/>
        <v>433.20163692839793</v>
      </c>
    </row>
    <row r="189" spans="1:6" ht="13.8" thickBot="1" x14ac:dyDescent="0.3">
      <c r="A189" s="169"/>
      <c r="B189" s="45">
        <v>3</v>
      </c>
      <c r="C189" s="43">
        <f t="shared" si="15"/>
        <v>173713.85640828757</v>
      </c>
      <c r="D189" s="43">
        <f t="shared" si="14"/>
        <v>20845.662768994509</v>
      </c>
      <c r="E189" s="44">
        <f t="shared" si="12"/>
        <v>1737.1385640828757</v>
      </c>
      <c r="F189" s="44">
        <f t="shared" si="13"/>
        <v>434.28464102071894</v>
      </c>
    </row>
    <row r="190" spans="1:6" ht="13.8" thickBot="1" x14ac:dyDescent="0.3">
      <c r="A190" s="173"/>
      <c r="B190" s="45">
        <v>4</v>
      </c>
      <c r="C190" s="43">
        <f t="shared" si="15"/>
        <v>174148.14104930829</v>
      </c>
      <c r="D190" s="43">
        <f t="shared" si="14"/>
        <v>20897.776925916995</v>
      </c>
      <c r="E190" s="44">
        <f t="shared" si="12"/>
        <v>1741.4814104930829</v>
      </c>
      <c r="F190" s="44">
        <f t="shared" si="13"/>
        <v>435.37035262327072</v>
      </c>
    </row>
    <row r="191" spans="1:6" ht="13.8" thickBot="1" x14ac:dyDescent="0.3">
      <c r="A191" s="172" t="s">
        <v>89</v>
      </c>
      <c r="B191" s="45">
        <v>1</v>
      </c>
      <c r="C191" s="43">
        <f t="shared" si="15"/>
        <v>174583.51140193155</v>
      </c>
      <c r="D191" s="43">
        <f t="shared" si="14"/>
        <v>20950.021368231784</v>
      </c>
      <c r="E191" s="44">
        <f t="shared" si="12"/>
        <v>1745.8351140193154</v>
      </c>
      <c r="F191" s="44">
        <f t="shared" si="13"/>
        <v>436.45877850482884</v>
      </c>
    </row>
    <row r="192" spans="1:6" ht="13.8" thickBot="1" x14ac:dyDescent="0.3">
      <c r="A192" s="169"/>
      <c r="B192" s="45">
        <v>2</v>
      </c>
      <c r="C192" s="43">
        <f t="shared" si="15"/>
        <v>175019.97018043639</v>
      </c>
      <c r="D192" s="43">
        <f t="shared" si="14"/>
        <v>21002.396421652367</v>
      </c>
      <c r="E192" s="44">
        <f t="shared" si="12"/>
        <v>1750.1997018043639</v>
      </c>
      <c r="F192" s="44">
        <f t="shared" si="13"/>
        <v>437.54992545109099</v>
      </c>
    </row>
    <row r="193" spans="1:6" ht="13.8" thickBot="1" x14ac:dyDescent="0.3">
      <c r="A193" s="169"/>
      <c r="B193" s="45">
        <v>3</v>
      </c>
      <c r="C193" s="43">
        <f t="shared" si="15"/>
        <v>175457.52010588747</v>
      </c>
      <c r="D193" s="43">
        <f t="shared" si="14"/>
        <v>21054.902412706495</v>
      </c>
      <c r="E193" s="44">
        <f t="shared" si="12"/>
        <v>1754.5752010588747</v>
      </c>
      <c r="F193" s="44">
        <f t="shared" si="13"/>
        <v>438.64380026471866</v>
      </c>
    </row>
    <row r="194" spans="1:6" ht="13.8" thickBot="1" x14ac:dyDescent="0.3">
      <c r="A194" s="173"/>
      <c r="B194" s="45">
        <v>4</v>
      </c>
      <c r="C194" s="43">
        <f t="shared" si="15"/>
        <v>175896.16390615219</v>
      </c>
      <c r="D194" s="43">
        <f t="shared" si="14"/>
        <v>21107.53966873826</v>
      </c>
      <c r="E194" s="44">
        <f t="shared" si="12"/>
        <v>1758.9616390615217</v>
      </c>
      <c r="F194" s="44">
        <f t="shared" si="13"/>
        <v>439.74040976538043</v>
      </c>
    </row>
    <row r="195" spans="1:6" ht="13.8" thickBot="1" x14ac:dyDescent="0.3">
      <c r="A195" s="172" t="s">
        <v>90</v>
      </c>
      <c r="B195" s="45">
        <v>1</v>
      </c>
      <c r="C195" s="43">
        <f t="shared" si="15"/>
        <v>176335.90431591758</v>
      </c>
      <c r="D195" s="43">
        <f t="shared" si="14"/>
        <v>21160.308517910107</v>
      </c>
      <c r="E195" s="44">
        <f t="shared" si="12"/>
        <v>1763.3590431591756</v>
      </c>
      <c r="F195" s="44">
        <f t="shared" si="13"/>
        <v>440.8397607897939</v>
      </c>
    </row>
    <row r="196" spans="1:6" ht="13.8" thickBot="1" x14ac:dyDescent="0.3">
      <c r="A196" s="169"/>
      <c r="B196" s="45">
        <v>2</v>
      </c>
      <c r="C196" s="43">
        <f t="shared" si="15"/>
        <v>176776.74407670737</v>
      </c>
      <c r="D196" s="43">
        <f t="shared" si="14"/>
        <v>21213.209289204882</v>
      </c>
      <c r="E196" s="44">
        <f t="shared" si="12"/>
        <v>1767.7674407670736</v>
      </c>
      <c r="F196" s="44">
        <f t="shared" si="13"/>
        <v>441.9418601917684</v>
      </c>
    </row>
    <row r="197" spans="1:6" ht="13.8" thickBot="1" x14ac:dyDescent="0.3">
      <c r="A197" s="169"/>
      <c r="B197" s="45">
        <v>3</v>
      </c>
      <c r="C197" s="43">
        <f t="shared" si="15"/>
        <v>177218.68593689913</v>
      </c>
      <c r="D197" s="43">
        <f t="shared" si="14"/>
        <v>21266.242312427894</v>
      </c>
      <c r="E197" s="44">
        <f t="shared" si="12"/>
        <v>1772.1868593689912</v>
      </c>
      <c r="F197" s="44">
        <f t="shared" si="13"/>
        <v>443.04671484224781</v>
      </c>
    </row>
    <row r="198" spans="1:6" ht="13.8" thickBot="1" x14ac:dyDescent="0.3">
      <c r="A198" s="173"/>
      <c r="B198" s="45">
        <v>4</v>
      </c>
      <c r="C198" s="43">
        <f t="shared" si="15"/>
        <v>177661.73265174139</v>
      </c>
      <c r="D198" s="43">
        <f t="shared" si="14"/>
        <v>21319.407918208966</v>
      </c>
      <c r="E198" s="44">
        <f t="shared" ref="E198:E261" si="16">D198/12</f>
        <v>1776.6173265174139</v>
      </c>
      <c r="F198" s="44">
        <f t="shared" ref="F198:F261" si="17">E198/4</f>
        <v>444.15433162935346</v>
      </c>
    </row>
    <row r="199" spans="1:6" ht="13.8" thickBot="1" x14ac:dyDescent="0.3">
      <c r="A199" s="172" t="s">
        <v>91</v>
      </c>
      <c r="B199" s="45">
        <v>1</v>
      </c>
      <c r="C199" s="43">
        <f t="shared" si="15"/>
        <v>178105.88698337073</v>
      </c>
      <c r="D199" s="43">
        <f t="shared" ref="D199:D262" si="18">C199*$F$2</f>
        <v>21372.706438004487</v>
      </c>
      <c r="E199" s="44">
        <f t="shared" si="16"/>
        <v>1781.0588698337071</v>
      </c>
      <c r="F199" s="44">
        <f t="shared" si="17"/>
        <v>445.26471745842679</v>
      </c>
    </row>
    <row r="200" spans="1:6" ht="13.8" thickBot="1" x14ac:dyDescent="0.3">
      <c r="A200" s="169"/>
      <c r="B200" s="45">
        <v>2</v>
      </c>
      <c r="C200" s="43">
        <f t="shared" si="15"/>
        <v>178551.15170082916</v>
      </c>
      <c r="D200" s="43">
        <f t="shared" si="18"/>
        <v>21426.138204099498</v>
      </c>
      <c r="E200" s="44">
        <f t="shared" si="16"/>
        <v>1785.5115170082915</v>
      </c>
      <c r="F200" s="44">
        <f t="shared" si="17"/>
        <v>446.37787925207289</v>
      </c>
    </row>
    <row r="201" spans="1:6" ht="13.8" thickBot="1" x14ac:dyDescent="0.3">
      <c r="A201" s="169"/>
      <c r="B201" s="45">
        <v>3</v>
      </c>
      <c r="C201" s="43">
        <f t="shared" si="15"/>
        <v>178997.52958008123</v>
      </c>
      <c r="D201" s="43">
        <f t="shared" si="18"/>
        <v>21479.703549609749</v>
      </c>
      <c r="E201" s="44">
        <f t="shared" si="16"/>
        <v>1789.9752958008123</v>
      </c>
      <c r="F201" s="44">
        <f t="shared" si="17"/>
        <v>447.49382395020308</v>
      </c>
    </row>
    <row r="202" spans="1:6" ht="13.8" thickBot="1" x14ac:dyDescent="0.3">
      <c r="A202" s="173"/>
      <c r="B202" s="45">
        <v>4</v>
      </c>
      <c r="C202" s="43">
        <f t="shared" si="15"/>
        <v>179445.02340403144</v>
      </c>
      <c r="D202" s="43">
        <f t="shared" si="18"/>
        <v>21533.402808483774</v>
      </c>
      <c r="E202" s="44">
        <f t="shared" si="16"/>
        <v>1794.4502340403144</v>
      </c>
      <c r="F202" s="44">
        <f t="shared" si="17"/>
        <v>448.6125585100786</v>
      </c>
    </row>
    <row r="203" spans="1:6" ht="13.8" thickBot="1" x14ac:dyDescent="0.3">
      <c r="A203" s="172" t="s">
        <v>92</v>
      </c>
      <c r="B203" s="45">
        <v>1</v>
      </c>
      <c r="C203" s="43">
        <f t="shared" ref="C203:C266" si="19">IF(B203=1,C202+F202+$B$3,C202+F202)</f>
        <v>179893.63596254151</v>
      </c>
      <c r="D203" s="43">
        <f t="shared" si="18"/>
        <v>21587.236315504979</v>
      </c>
      <c r="E203" s="44">
        <f t="shared" si="16"/>
        <v>1798.936359625415</v>
      </c>
      <c r="F203" s="44">
        <f t="shared" si="17"/>
        <v>449.73408990635374</v>
      </c>
    </row>
    <row r="204" spans="1:6" ht="13.8" thickBot="1" x14ac:dyDescent="0.3">
      <c r="A204" s="169"/>
      <c r="B204" s="45">
        <v>2</v>
      </c>
      <c r="C204" s="43">
        <f t="shared" si="19"/>
        <v>180343.37005244786</v>
      </c>
      <c r="D204" s="43">
        <f t="shared" si="18"/>
        <v>21641.204406293742</v>
      </c>
      <c r="E204" s="44">
        <f t="shared" si="16"/>
        <v>1803.4337005244786</v>
      </c>
      <c r="F204" s="44">
        <f t="shared" si="17"/>
        <v>450.85842513111965</v>
      </c>
    </row>
    <row r="205" spans="1:6" ht="13.8" thickBot="1" x14ac:dyDescent="0.3">
      <c r="A205" s="169"/>
      <c r="B205" s="45">
        <v>3</v>
      </c>
      <c r="C205" s="43">
        <f t="shared" si="19"/>
        <v>180794.22847757899</v>
      </c>
      <c r="D205" s="43">
        <f t="shared" si="18"/>
        <v>21695.307417309479</v>
      </c>
      <c r="E205" s="44">
        <f t="shared" si="16"/>
        <v>1807.9422847757899</v>
      </c>
      <c r="F205" s="44">
        <f t="shared" si="17"/>
        <v>451.98557119394746</v>
      </c>
    </row>
    <row r="206" spans="1:6" ht="13.8" thickBot="1" x14ac:dyDescent="0.3">
      <c r="A206" s="173"/>
      <c r="B206" s="45">
        <v>4</v>
      </c>
      <c r="C206" s="43">
        <f t="shared" si="19"/>
        <v>181246.21404877293</v>
      </c>
      <c r="D206" s="43">
        <f t="shared" si="18"/>
        <v>21749.54568585275</v>
      </c>
      <c r="E206" s="44">
        <f t="shared" si="16"/>
        <v>1812.4621404877291</v>
      </c>
      <c r="F206" s="44">
        <f t="shared" si="17"/>
        <v>453.11553512193228</v>
      </c>
    </row>
    <row r="207" spans="1:6" ht="13.8" thickBot="1" x14ac:dyDescent="0.3">
      <c r="A207" s="172" t="s">
        <v>93</v>
      </c>
      <c r="B207" s="45">
        <v>1</v>
      </c>
      <c r="C207" s="43">
        <f t="shared" si="19"/>
        <v>181699.32958389487</v>
      </c>
      <c r="D207" s="43">
        <f t="shared" si="18"/>
        <v>21803.919550067385</v>
      </c>
      <c r="E207" s="44">
        <f t="shared" si="16"/>
        <v>1816.9932958389488</v>
      </c>
      <c r="F207" s="44">
        <f t="shared" si="17"/>
        <v>454.24832395973721</v>
      </c>
    </row>
    <row r="208" spans="1:6" ht="13.8" thickBot="1" x14ac:dyDescent="0.3">
      <c r="A208" s="169"/>
      <c r="B208" s="45">
        <v>2</v>
      </c>
      <c r="C208" s="43">
        <f t="shared" si="19"/>
        <v>182153.5779078546</v>
      </c>
      <c r="D208" s="43">
        <f t="shared" si="18"/>
        <v>21858.429348942551</v>
      </c>
      <c r="E208" s="44">
        <f t="shared" si="16"/>
        <v>1821.5357790785458</v>
      </c>
      <c r="F208" s="44">
        <f t="shared" si="17"/>
        <v>455.38394476963646</v>
      </c>
    </row>
    <row r="209" spans="1:6" ht="13.8" thickBot="1" x14ac:dyDescent="0.3">
      <c r="A209" s="169"/>
      <c r="B209" s="45">
        <v>3</v>
      </c>
      <c r="C209" s="43">
        <f t="shared" si="19"/>
        <v>182608.96185262423</v>
      </c>
      <c r="D209" s="43">
        <f t="shared" si="18"/>
        <v>21913.075422314905</v>
      </c>
      <c r="E209" s="44">
        <f t="shared" si="16"/>
        <v>1826.089618526242</v>
      </c>
      <c r="F209" s="44">
        <f t="shared" si="17"/>
        <v>456.52240463156051</v>
      </c>
    </row>
    <row r="210" spans="1:6" x14ac:dyDescent="0.25">
      <c r="A210" s="173"/>
      <c r="B210" s="45">
        <v>4</v>
      </c>
      <c r="C210" s="43">
        <f t="shared" si="19"/>
        <v>183065.4842572558</v>
      </c>
      <c r="D210" s="43">
        <f t="shared" si="18"/>
        <v>21967.858110870693</v>
      </c>
      <c r="E210" s="44">
        <f t="shared" si="16"/>
        <v>1830.6548425725578</v>
      </c>
      <c r="F210" s="44">
        <f t="shared" si="17"/>
        <v>457.66371064313944</v>
      </c>
    </row>
    <row r="211" spans="1:6" ht="13.8" thickBot="1" x14ac:dyDescent="0.3">
      <c r="A211" s="175" t="s">
        <v>94</v>
      </c>
      <c r="B211" s="47">
        <v>1</v>
      </c>
      <c r="C211" s="43">
        <f t="shared" si="19"/>
        <v>183523.14796789893</v>
      </c>
      <c r="D211" s="43">
        <f t="shared" si="18"/>
        <v>22022.777756147869</v>
      </c>
      <c r="E211" s="44">
        <f t="shared" si="16"/>
        <v>1835.231479678989</v>
      </c>
      <c r="F211" s="44">
        <f t="shared" si="17"/>
        <v>458.80786991974725</v>
      </c>
    </row>
    <row r="212" spans="1:6" ht="13.8" thickBot="1" x14ac:dyDescent="0.3">
      <c r="A212" s="169"/>
      <c r="B212" s="45">
        <v>2</v>
      </c>
      <c r="C212" s="43">
        <f t="shared" si="19"/>
        <v>183981.95583781868</v>
      </c>
      <c r="D212" s="43">
        <f t="shared" si="18"/>
        <v>22077.834700538242</v>
      </c>
      <c r="E212" s="44">
        <f t="shared" si="16"/>
        <v>1839.8195583781869</v>
      </c>
      <c r="F212" s="44">
        <f t="shared" si="17"/>
        <v>459.95488959454673</v>
      </c>
    </row>
    <row r="213" spans="1:6" ht="13.8" thickBot="1" x14ac:dyDescent="0.3">
      <c r="A213" s="169"/>
      <c r="B213" s="45">
        <v>3</v>
      </c>
      <c r="C213" s="43">
        <f t="shared" si="19"/>
        <v>184441.91072741323</v>
      </c>
      <c r="D213" s="43">
        <f t="shared" si="18"/>
        <v>22133.029287289588</v>
      </c>
      <c r="E213" s="44">
        <f t="shared" si="16"/>
        <v>1844.4191072741323</v>
      </c>
      <c r="F213" s="44">
        <f t="shared" si="17"/>
        <v>461.10477681853308</v>
      </c>
    </row>
    <row r="214" spans="1:6" ht="13.8" thickBot="1" x14ac:dyDescent="0.3">
      <c r="A214" s="173"/>
      <c r="B214" s="45">
        <v>4</v>
      </c>
      <c r="C214" s="43">
        <f t="shared" si="19"/>
        <v>184903.01550423176</v>
      </c>
      <c r="D214" s="43">
        <f t="shared" si="18"/>
        <v>22188.361860507812</v>
      </c>
      <c r="E214" s="44">
        <f t="shared" si="16"/>
        <v>1849.0301550423176</v>
      </c>
      <c r="F214" s="44">
        <f t="shared" si="17"/>
        <v>462.25753876057939</v>
      </c>
    </row>
    <row r="215" spans="1:6" ht="13.8" thickBot="1" x14ac:dyDescent="0.3">
      <c r="A215" s="172" t="s">
        <v>95</v>
      </c>
      <c r="B215" s="45">
        <v>1</v>
      </c>
      <c r="C215" s="43">
        <f t="shared" si="19"/>
        <v>185365.27304299234</v>
      </c>
      <c r="D215" s="43">
        <f t="shared" si="18"/>
        <v>22243.832765159081</v>
      </c>
      <c r="E215" s="44">
        <f t="shared" si="16"/>
        <v>1853.6527304299234</v>
      </c>
      <c r="F215" s="44">
        <f t="shared" si="17"/>
        <v>463.41318260748085</v>
      </c>
    </row>
    <row r="216" spans="1:6" ht="13.8" thickBot="1" x14ac:dyDescent="0.3">
      <c r="A216" s="169"/>
      <c r="B216" s="45">
        <v>2</v>
      </c>
      <c r="C216" s="43">
        <f t="shared" si="19"/>
        <v>185828.68622559981</v>
      </c>
      <c r="D216" s="43">
        <f t="shared" si="18"/>
        <v>22299.442347071978</v>
      </c>
      <c r="E216" s="44">
        <f t="shared" si="16"/>
        <v>1858.2868622559981</v>
      </c>
      <c r="F216" s="44">
        <f t="shared" si="17"/>
        <v>464.57171556399953</v>
      </c>
    </row>
    <row r="217" spans="1:6" ht="13.8" thickBot="1" x14ac:dyDescent="0.3">
      <c r="A217" s="169"/>
      <c r="B217" s="45">
        <v>3</v>
      </c>
      <c r="C217" s="43">
        <f t="shared" si="19"/>
        <v>186293.25794116381</v>
      </c>
      <c r="D217" s="43">
        <f t="shared" si="18"/>
        <v>22355.190952939658</v>
      </c>
      <c r="E217" s="44">
        <f t="shared" si="16"/>
        <v>1862.9325794116382</v>
      </c>
      <c r="F217" s="44">
        <f t="shared" si="17"/>
        <v>465.73314485290956</v>
      </c>
    </row>
    <row r="218" spans="1:6" ht="13.8" thickBot="1" x14ac:dyDescent="0.3">
      <c r="A218" s="173"/>
      <c r="B218" s="45">
        <v>4</v>
      </c>
      <c r="C218" s="43">
        <f t="shared" si="19"/>
        <v>186758.99108601673</v>
      </c>
      <c r="D218" s="43">
        <f t="shared" si="18"/>
        <v>22411.078930322008</v>
      </c>
      <c r="E218" s="44">
        <f t="shared" si="16"/>
        <v>1867.5899108601673</v>
      </c>
      <c r="F218" s="44">
        <f t="shared" si="17"/>
        <v>466.89747771504182</v>
      </c>
    </row>
    <row r="219" spans="1:6" ht="13.8" thickBot="1" x14ac:dyDescent="0.3">
      <c r="A219" s="172" t="s">
        <v>96</v>
      </c>
      <c r="B219" s="45">
        <v>1</v>
      </c>
      <c r="C219" s="43">
        <f t="shared" si="19"/>
        <v>187225.88856373177</v>
      </c>
      <c r="D219" s="43">
        <f t="shared" si="18"/>
        <v>22467.106627647812</v>
      </c>
      <c r="E219" s="44">
        <f t="shared" si="16"/>
        <v>1872.2588856373177</v>
      </c>
      <c r="F219" s="44">
        <f t="shared" si="17"/>
        <v>468.06472140932942</v>
      </c>
    </row>
    <row r="220" spans="1:6" ht="13.8" thickBot="1" x14ac:dyDescent="0.3">
      <c r="A220" s="169"/>
      <c r="B220" s="45">
        <v>2</v>
      </c>
      <c r="C220" s="43">
        <f t="shared" si="19"/>
        <v>187693.95328514109</v>
      </c>
      <c r="D220" s="43">
        <f t="shared" si="18"/>
        <v>22523.274394216929</v>
      </c>
      <c r="E220" s="44">
        <f t="shared" si="16"/>
        <v>1876.9395328514108</v>
      </c>
      <c r="F220" s="44">
        <f t="shared" si="17"/>
        <v>469.23488321285271</v>
      </c>
    </row>
    <row r="221" spans="1:6" ht="13.8" thickBot="1" x14ac:dyDescent="0.3">
      <c r="A221" s="169"/>
      <c r="B221" s="45">
        <v>3</v>
      </c>
      <c r="C221" s="43">
        <f t="shared" si="19"/>
        <v>188163.18816835395</v>
      </c>
      <c r="D221" s="43">
        <f t="shared" si="18"/>
        <v>22579.582580202474</v>
      </c>
      <c r="E221" s="44">
        <f t="shared" si="16"/>
        <v>1881.6318816835394</v>
      </c>
      <c r="F221" s="44">
        <f t="shared" si="17"/>
        <v>470.40797042088485</v>
      </c>
    </row>
    <row r="222" spans="1:6" ht="13.8" thickBot="1" x14ac:dyDescent="0.3">
      <c r="A222" s="173"/>
      <c r="B222" s="45">
        <v>4</v>
      </c>
      <c r="C222" s="43">
        <f t="shared" si="19"/>
        <v>188633.59613877482</v>
      </c>
      <c r="D222" s="43">
        <f t="shared" si="18"/>
        <v>22636.031536652979</v>
      </c>
      <c r="E222" s="44">
        <f t="shared" si="16"/>
        <v>1886.3359613877483</v>
      </c>
      <c r="F222" s="44">
        <f t="shared" si="17"/>
        <v>471.58399034693707</v>
      </c>
    </row>
    <row r="223" spans="1:6" ht="13.8" thickBot="1" x14ac:dyDescent="0.3">
      <c r="A223" s="172" t="s">
        <v>97</v>
      </c>
      <c r="B223" s="45">
        <v>1</v>
      </c>
      <c r="C223" s="43">
        <f t="shared" si="19"/>
        <v>189105.18012912176</v>
      </c>
      <c r="D223" s="43">
        <f t="shared" si="18"/>
        <v>22692.621615494609</v>
      </c>
      <c r="E223" s="44">
        <f t="shared" si="16"/>
        <v>1891.0518012912173</v>
      </c>
      <c r="F223" s="44">
        <f t="shared" si="17"/>
        <v>472.76295032280433</v>
      </c>
    </row>
    <row r="224" spans="1:6" ht="13.8" thickBot="1" x14ac:dyDescent="0.3">
      <c r="A224" s="169"/>
      <c r="B224" s="45">
        <v>2</v>
      </c>
      <c r="C224" s="43">
        <f t="shared" si="19"/>
        <v>189577.94307944455</v>
      </c>
      <c r="D224" s="43">
        <f t="shared" si="18"/>
        <v>22749.353169533344</v>
      </c>
      <c r="E224" s="44">
        <f t="shared" si="16"/>
        <v>1895.7794307944453</v>
      </c>
      <c r="F224" s="44">
        <f t="shared" si="17"/>
        <v>473.94485769861132</v>
      </c>
    </row>
    <row r="225" spans="1:6" ht="13.8" thickBot="1" x14ac:dyDescent="0.3">
      <c r="A225" s="169"/>
      <c r="B225" s="45">
        <v>3</v>
      </c>
      <c r="C225" s="43">
        <f t="shared" si="19"/>
        <v>190051.88793714315</v>
      </c>
      <c r="D225" s="43">
        <f t="shared" si="18"/>
        <v>22806.226552457178</v>
      </c>
      <c r="E225" s="44">
        <f t="shared" si="16"/>
        <v>1900.5188793714315</v>
      </c>
      <c r="F225" s="44">
        <f t="shared" si="17"/>
        <v>475.12971984285787</v>
      </c>
    </row>
    <row r="226" spans="1:6" ht="13.8" thickBot="1" x14ac:dyDescent="0.3">
      <c r="A226" s="173"/>
      <c r="B226" s="45">
        <v>4</v>
      </c>
      <c r="C226" s="43">
        <f t="shared" si="19"/>
        <v>190527.01765698602</v>
      </c>
      <c r="D226" s="43">
        <f t="shared" si="18"/>
        <v>22863.242118838323</v>
      </c>
      <c r="E226" s="44">
        <f t="shared" si="16"/>
        <v>1905.2701765698603</v>
      </c>
      <c r="F226" s="44">
        <f t="shared" si="17"/>
        <v>476.31754414246507</v>
      </c>
    </row>
    <row r="227" spans="1:6" ht="13.8" thickBot="1" x14ac:dyDescent="0.3">
      <c r="A227" s="172" t="s">
        <v>98</v>
      </c>
      <c r="B227" s="45">
        <v>1</v>
      </c>
      <c r="C227" s="43">
        <f t="shared" si="19"/>
        <v>191003.33520112847</v>
      </c>
      <c r="D227" s="43">
        <f t="shared" si="18"/>
        <v>22920.400224135417</v>
      </c>
      <c r="E227" s="44">
        <f t="shared" si="16"/>
        <v>1910.0333520112847</v>
      </c>
      <c r="F227" s="44">
        <f t="shared" si="17"/>
        <v>477.50833800282118</v>
      </c>
    </row>
    <row r="228" spans="1:6" ht="13.8" thickBot="1" x14ac:dyDescent="0.3">
      <c r="A228" s="169"/>
      <c r="B228" s="45">
        <v>2</v>
      </c>
      <c r="C228" s="43">
        <f t="shared" si="19"/>
        <v>191480.84353913128</v>
      </c>
      <c r="D228" s="43">
        <f t="shared" si="18"/>
        <v>22977.701224695753</v>
      </c>
      <c r="E228" s="44">
        <f t="shared" si="16"/>
        <v>1914.8084353913127</v>
      </c>
      <c r="F228" s="44">
        <f t="shared" si="17"/>
        <v>478.70210884782819</v>
      </c>
    </row>
    <row r="229" spans="1:6" ht="13.8" thickBot="1" x14ac:dyDescent="0.3">
      <c r="A229" s="169"/>
      <c r="B229" s="45">
        <v>3</v>
      </c>
      <c r="C229" s="43">
        <f t="shared" si="19"/>
        <v>191959.5456479791</v>
      </c>
      <c r="D229" s="43">
        <f t="shared" si="18"/>
        <v>23035.145477757491</v>
      </c>
      <c r="E229" s="44">
        <f t="shared" si="16"/>
        <v>1919.595456479791</v>
      </c>
      <c r="F229" s="44">
        <f t="shared" si="17"/>
        <v>479.89886411994775</v>
      </c>
    </row>
    <row r="230" spans="1:6" ht="13.8" thickBot="1" x14ac:dyDescent="0.3">
      <c r="A230" s="173"/>
      <c r="B230" s="45">
        <v>4</v>
      </c>
      <c r="C230" s="43">
        <f t="shared" si="19"/>
        <v>192439.44451209906</v>
      </c>
      <c r="D230" s="43">
        <f t="shared" si="18"/>
        <v>23092.733341451887</v>
      </c>
      <c r="E230" s="44">
        <f t="shared" si="16"/>
        <v>1924.3944451209907</v>
      </c>
      <c r="F230" s="44">
        <f t="shared" si="17"/>
        <v>481.09861128024767</v>
      </c>
    </row>
    <row r="231" spans="1:6" ht="13.8" thickBot="1" x14ac:dyDescent="0.3">
      <c r="A231" s="172" t="s">
        <v>99</v>
      </c>
      <c r="B231" s="45">
        <v>1</v>
      </c>
      <c r="C231" s="43">
        <f t="shared" si="19"/>
        <v>192920.54312337929</v>
      </c>
      <c r="D231" s="43">
        <f t="shared" si="18"/>
        <v>23150.465174805515</v>
      </c>
      <c r="E231" s="44">
        <f t="shared" si="16"/>
        <v>1929.205431233793</v>
      </c>
      <c r="F231" s="44">
        <f t="shared" si="17"/>
        <v>482.30135780844824</v>
      </c>
    </row>
    <row r="232" spans="1:6" ht="13.8" thickBot="1" x14ac:dyDescent="0.3">
      <c r="A232" s="169"/>
      <c r="B232" s="45">
        <v>2</v>
      </c>
      <c r="C232" s="43">
        <f t="shared" si="19"/>
        <v>193402.84448118773</v>
      </c>
      <c r="D232" s="43">
        <f t="shared" si="18"/>
        <v>23208.341337742528</v>
      </c>
      <c r="E232" s="44">
        <f t="shared" si="16"/>
        <v>1934.0284448118773</v>
      </c>
      <c r="F232" s="44">
        <f t="shared" si="17"/>
        <v>483.50711120296933</v>
      </c>
    </row>
    <row r="233" spans="1:6" ht="13.8" thickBot="1" x14ac:dyDescent="0.3">
      <c r="A233" s="169"/>
      <c r="B233" s="45">
        <v>3</v>
      </c>
      <c r="C233" s="43">
        <f t="shared" si="19"/>
        <v>193886.35159239071</v>
      </c>
      <c r="D233" s="43">
        <f t="shared" si="18"/>
        <v>23266.362191086886</v>
      </c>
      <c r="E233" s="44">
        <f t="shared" si="16"/>
        <v>1938.8635159239072</v>
      </c>
      <c r="F233" s="44">
        <f t="shared" si="17"/>
        <v>484.71587898097681</v>
      </c>
    </row>
    <row r="234" spans="1:6" ht="13.8" thickBot="1" x14ac:dyDescent="0.3">
      <c r="A234" s="173"/>
      <c r="B234" s="45">
        <v>4</v>
      </c>
      <c r="C234" s="43">
        <f t="shared" si="19"/>
        <v>194371.0674713717</v>
      </c>
      <c r="D234" s="43">
        <f t="shared" si="18"/>
        <v>23324.528096564602</v>
      </c>
      <c r="E234" s="44">
        <f t="shared" si="16"/>
        <v>1943.7106747137168</v>
      </c>
      <c r="F234" s="44">
        <f t="shared" si="17"/>
        <v>485.9276686784292</v>
      </c>
    </row>
    <row r="235" spans="1:6" ht="13.8" thickBot="1" x14ac:dyDescent="0.3">
      <c r="A235" s="172" t="s">
        <v>100</v>
      </c>
      <c r="B235" s="45">
        <v>1</v>
      </c>
      <c r="C235" s="43">
        <f t="shared" si="19"/>
        <v>194856.99514005013</v>
      </c>
      <c r="D235" s="43">
        <f t="shared" si="18"/>
        <v>23382.839416806015</v>
      </c>
      <c r="E235" s="44">
        <f t="shared" si="16"/>
        <v>1948.5699514005012</v>
      </c>
      <c r="F235" s="44">
        <f t="shared" si="17"/>
        <v>487.14248785012529</v>
      </c>
    </row>
    <row r="236" spans="1:6" ht="13.8" thickBot="1" x14ac:dyDescent="0.3">
      <c r="A236" s="169"/>
      <c r="B236" s="45">
        <v>2</v>
      </c>
      <c r="C236" s="43">
        <f t="shared" si="19"/>
        <v>195344.13762790026</v>
      </c>
      <c r="D236" s="43">
        <f t="shared" si="18"/>
        <v>23441.296515348029</v>
      </c>
      <c r="E236" s="44">
        <f t="shared" si="16"/>
        <v>1953.4413762790025</v>
      </c>
      <c r="F236" s="44">
        <f t="shared" si="17"/>
        <v>488.36034406975062</v>
      </c>
    </row>
    <row r="237" spans="1:6" ht="13.8" thickBot="1" x14ac:dyDescent="0.3">
      <c r="A237" s="169"/>
      <c r="B237" s="45">
        <v>3</v>
      </c>
      <c r="C237" s="43">
        <f t="shared" si="19"/>
        <v>195832.49797197001</v>
      </c>
      <c r="D237" s="43">
        <f t="shared" si="18"/>
        <v>23499.899756636401</v>
      </c>
      <c r="E237" s="44">
        <f t="shared" si="16"/>
        <v>1958.3249797197002</v>
      </c>
      <c r="F237" s="44">
        <f t="shared" si="17"/>
        <v>489.58124492992505</v>
      </c>
    </row>
    <row r="238" spans="1:6" ht="13.8" thickBot="1" x14ac:dyDescent="0.3">
      <c r="A238" s="173"/>
      <c r="B238" s="45">
        <v>4</v>
      </c>
      <c r="C238" s="43">
        <f t="shared" si="19"/>
        <v>196322.07921689993</v>
      </c>
      <c r="D238" s="43">
        <f t="shared" si="18"/>
        <v>23558.649506027992</v>
      </c>
      <c r="E238" s="44">
        <f t="shared" si="16"/>
        <v>1963.2207921689994</v>
      </c>
      <c r="F238" s="44">
        <f t="shared" si="17"/>
        <v>490.80519804224986</v>
      </c>
    </row>
    <row r="239" spans="1:6" ht="13.8" thickBot="1" x14ac:dyDescent="0.3">
      <c r="A239" s="172" t="s">
        <v>101</v>
      </c>
      <c r="B239" s="45">
        <v>1</v>
      </c>
      <c r="C239" s="43">
        <f t="shared" si="19"/>
        <v>196812.88441494218</v>
      </c>
      <c r="D239" s="43">
        <f t="shared" si="18"/>
        <v>23617.54612979306</v>
      </c>
      <c r="E239" s="44">
        <f t="shared" si="16"/>
        <v>1968.1288441494216</v>
      </c>
      <c r="F239" s="44">
        <f t="shared" si="17"/>
        <v>492.03221103735541</v>
      </c>
    </row>
    <row r="240" spans="1:6" ht="13.8" thickBot="1" x14ac:dyDescent="0.3">
      <c r="A240" s="169"/>
      <c r="B240" s="45">
        <v>2</v>
      </c>
      <c r="C240" s="43">
        <f t="shared" si="19"/>
        <v>197304.91662597953</v>
      </c>
      <c r="D240" s="43">
        <f t="shared" si="18"/>
        <v>23676.589995117542</v>
      </c>
      <c r="E240" s="44">
        <f t="shared" si="16"/>
        <v>1973.0491662597951</v>
      </c>
      <c r="F240" s="44">
        <f t="shared" si="17"/>
        <v>493.26229156494878</v>
      </c>
    </row>
    <row r="241" spans="1:6" ht="13.8" thickBot="1" x14ac:dyDescent="0.3">
      <c r="A241" s="169"/>
      <c r="B241" s="45">
        <v>3</v>
      </c>
      <c r="C241" s="43">
        <f t="shared" si="19"/>
        <v>197798.17891754449</v>
      </c>
      <c r="D241" s="43">
        <f t="shared" si="18"/>
        <v>23735.781470105336</v>
      </c>
      <c r="E241" s="44">
        <f t="shared" si="16"/>
        <v>1977.9817891754446</v>
      </c>
      <c r="F241" s="44">
        <f t="shared" si="17"/>
        <v>494.49544729386116</v>
      </c>
    </row>
    <row r="242" spans="1:6" ht="13.8" thickBot="1" x14ac:dyDescent="0.3">
      <c r="A242" s="173"/>
      <c r="B242" s="45">
        <v>4</v>
      </c>
      <c r="C242" s="43">
        <f t="shared" si="19"/>
        <v>198292.67436483834</v>
      </c>
      <c r="D242" s="43">
        <f t="shared" si="18"/>
        <v>23795.1209237806</v>
      </c>
      <c r="E242" s="44">
        <f t="shared" si="16"/>
        <v>1982.9267436483833</v>
      </c>
      <c r="F242" s="44">
        <f t="shared" si="17"/>
        <v>495.73168591209583</v>
      </c>
    </row>
    <row r="243" spans="1:6" ht="13.8" thickBot="1" x14ac:dyDescent="0.3">
      <c r="A243" s="172" t="s">
        <v>102</v>
      </c>
      <c r="B243" s="45">
        <v>1</v>
      </c>
      <c r="C243" s="43">
        <f t="shared" si="19"/>
        <v>198788.40605075043</v>
      </c>
      <c r="D243" s="43">
        <f t="shared" si="18"/>
        <v>23854.608726090049</v>
      </c>
      <c r="E243" s="44">
        <f t="shared" si="16"/>
        <v>1987.884060507504</v>
      </c>
      <c r="F243" s="44">
        <f t="shared" si="17"/>
        <v>496.97101512687601</v>
      </c>
    </row>
    <row r="244" spans="1:6" ht="13.8" thickBot="1" x14ac:dyDescent="0.3">
      <c r="A244" s="169"/>
      <c r="B244" s="45">
        <v>2</v>
      </c>
      <c r="C244" s="43">
        <f t="shared" si="19"/>
        <v>199285.37706587731</v>
      </c>
      <c r="D244" s="43">
        <f t="shared" si="18"/>
        <v>23914.245247905277</v>
      </c>
      <c r="E244" s="44">
        <f t="shared" si="16"/>
        <v>1992.8537706587731</v>
      </c>
      <c r="F244" s="44">
        <f t="shared" si="17"/>
        <v>498.21344266469328</v>
      </c>
    </row>
    <row r="245" spans="1:6" ht="13.8" thickBot="1" x14ac:dyDescent="0.3">
      <c r="A245" s="169"/>
      <c r="B245" s="45">
        <v>3</v>
      </c>
      <c r="C245" s="43">
        <f t="shared" si="19"/>
        <v>199783.59050854199</v>
      </c>
      <c r="D245" s="43">
        <f t="shared" si="18"/>
        <v>23974.030861025039</v>
      </c>
      <c r="E245" s="44">
        <f t="shared" si="16"/>
        <v>1997.8359050854199</v>
      </c>
      <c r="F245" s="44">
        <f t="shared" si="17"/>
        <v>499.45897627135497</v>
      </c>
    </row>
    <row r="246" spans="1:6" ht="13.8" thickBot="1" x14ac:dyDescent="0.3">
      <c r="A246" s="173"/>
      <c r="B246" s="45">
        <v>4</v>
      </c>
      <c r="C246" s="43">
        <f t="shared" si="19"/>
        <v>200283.04948481335</v>
      </c>
      <c r="D246" s="43">
        <f t="shared" si="18"/>
        <v>24033.9659381776</v>
      </c>
      <c r="E246" s="44">
        <f t="shared" si="16"/>
        <v>2002.8304948481334</v>
      </c>
      <c r="F246" s="44">
        <f t="shared" si="17"/>
        <v>500.70762371203335</v>
      </c>
    </row>
    <row r="247" spans="1:6" ht="13.8" thickBot="1" x14ac:dyDescent="0.3">
      <c r="A247" s="172" t="s">
        <v>103</v>
      </c>
      <c r="B247" s="45">
        <v>1</v>
      </c>
      <c r="C247" s="43">
        <f t="shared" si="19"/>
        <v>200783.75710852537</v>
      </c>
      <c r="D247" s="43">
        <f t="shared" si="18"/>
        <v>24094.050853023044</v>
      </c>
      <c r="E247" s="44">
        <f t="shared" si="16"/>
        <v>2007.8375710852536</v>
      </c>
      <c r="F247" s="44">
        <f t="shared" si="17"/>
        <v>501.95939277131339</v>
      </c>
    </row>
    <row r="248" spans="1:6" ht="13.8" thickBot="1" x14ac:dyDescent="0.3">
      <c r="A248" s="169"/>
      <c r="B248" s="45">
        <v>2</v>
      </c>
      <c r="C248" s="43">
        <f t="shared" si="19"/>
        <v>201285.71650129667</v>
      </c>
      <c r="D248" s="43">
        <f t="shared" si="18"/>
        <v>24154.285980155601</v>
      </c>
      <c r="E248" s="44">
        <f t="shared" si="16"/>
        <v>2012.8571650129668</v>
      </c>
      <c r="F248" s="44">
        <f t="shared" si="17"/>
        <v>503.2142912532417</v>
      </c>
    </row>
    <row r="249" spans="1:6" ht="13.8" thickBot="1" x14ac:dyDescent="0.3">
      <c r="A249" s="169"/>
      <c r="B249" s="45">
        <v>3</v>
      </c>
      <c r="C249" s="43">
        <f t="shared" si="19"/>
        <v>201788.93079254992</v>
      </c>
      <c r="D249" s="43">
        <f t="shared" si="18"/>
        <v>24214.67169510599</v>
      </c>
      <c r="E249" s="44">
        <f t="shared" si="16"/>
        <v>2017.8893079254992</v>
      </c>
      <c r="F249" s="44">
        <f t="shared" si="17"/>
        <v>504.47232698137481</v>
      </c>
    </row>
    <row r="250" spans="1:6" ht="13.8" thickBot="1" x14ac:dyDescent="0.3">
      <c r="A250" s="173"/>
      <c r="B250" s="45">
        <v>4</v>
      </c>
      <c r="C250" s="43">
        <f t="shared" si="19"/>
        <v>202293.40311953129</v>
      </c>
      <c r="D250" s="43">
        <f t="shared" si="18"/>
        <v>24275.208374343754</v>
      </c>
      <c r="E250" s="44">
        <f t="shared" si="16"/>
        <v>2022.9340311953129</v>
      </c>
      <c r="F250" s="44">
        <f t="shared" si="17"/>
        <v>505.73350779882821</v>
      </c>
    </row>
    <row r="251" spans="1:6" ht="13.8" thickBot="1" x14ac:dyDescent="0.3">
      <c r="A251" s="172" t="s">
        <v>104</v>
      </c>
      <c r="B251" s="45">
        <v>1</v>
      </c>
      <c r="C251" s="43">
        <f t="shared" si="19"/>
        <v>202799.13662733012</v>
      </c>
      <c r="D251" s="43">
        <f t="shared" si="18"/>
        <v>24335.896395279615</v>
      </c>
      <c r="E251" s="44">
        <f t="shared" si="16"/>
        <v>2027.9913662733013</v>
      </c>
      <c r="F251" s="44">
        <f t="shared" si="17"/>
        <v>506.99784156832533</v>
      </c>
    </row>
    <row r="252" spans="1:6" ht="13.8" thickBot="1" x14ac:dyDescent="0.3">
      <c r="A252" s="169"/>
      <c r="B252" s="45">
        <v>2</v>
      </c>
      <c r="C252" s="43">
        <f t="shared" si="19"/>
        <v>203306.13446889844</v>
      </c>
      <c r="D252" s="43">
        <f t="shared" si="18"/>
        <v>24396.736136267813</v>
      </c>
      <c r="E252" s="44">
        <f t="shared" si="16"/>
        <v>2033.0613446889845</v>
      </c>
      <c r="F252" s="44">
        <f t="shared" si="17"/>
        <v>508.26533617224612</v>
      </c>
    </row>
    <row r="253" spans="1:6" ht="13.8" thickBot="1" x14ac:dyDescent="0.3">
      <c r="A253" s="169"/>
      <c r="B253" s="45">
        <v>3</v>
      </c>
      <c r="C253" s="43">
        <f t="shared" si="19"/>
        <v>203814.39980507069</v>
      </c>
      <c r="D253" s="43">
        <f t="shared" si="18"/>
        <v>24457.727976608483</v>
      </c>
      <c r="E253" s="44">
        <f t="shared" si="16"/>
        <v>2038.1439980507068</v>
      </c>
      <c r="F253" s="44">
        <f t="shared" si="17"/>
        <v>509.53599951267671</v>
      </c>
    </row>
    <row r="254" spans="1:6" ht="13.8" thickBot="1" x14ac:dyDescent="0.3">
      <c r="A254" s="173"/>
      <c r="B254" s="45">
        <v>4</v>
      </c>
      <c r="C254" s="43">
        <f t="shared" si="19"/>
        <v>204323.93580458337</v>
      </c>
      <c r="D254" s="43">
        <f t="shared" si="18"/>
        <v>24518.872296550002</v>
      </c>
      <c r="E254" s="44">
        <f t="shared" si="16"/>
        <v>2043.2393580458336</v>
      </c>
      <c r="F254" s="44">
        <f t="shared" si="17"/>
        <v>510.80983951145839</v>
      </c>
    </row>
    <row r="255" spans="1:6" ht="13.8" thickBot="1" x14ac:dyDescent="0.3">
      <c r="A255" s="172" t="s">
        <v>105</v>
      </c>
      <c r="B255" s="45">
        <v>1</v>
      </c>
      <c r="C255" s="43">
        <f t="shared" si="19"/>
        <v>204834.74564409483</v>
      </c>
      <c r="D255" s="43">
        <f t="shared" si="18"/>
        <v>24580.16947729138</v>
      </c>
      <c r="E255" s="44">
        <f t="shared" si="16"/>
        <v>2048.3474564409485</v>
      </c>
      <c r="F255" s="44">
        <f t="shared" si="17"/>
        <v>512.08686411023712</v>
      </c>
    </row>
    <row r="256" spans="1:6" ht="13.8" thickBot="1" x14ac:dyDescent="0.3">
      <c r="A256" s="169"/>
      <c r="B256" s="45">
        <v>2</v>
      </c>
      <c r="C256" s="43">
        <f t="shared" si="19"/>
        <v>205346.83250820506</v>
      </c>
      <c r="D256" s="43">
        <f t="shared" si="18"/>
        <v>24641.619900984606</v>
      </c>
      <c r="E256" s="44">
        <f t="shared" si="16"/>
        <v>2053.4683250820503</v>
      </c>
      <c r="F256" s="44">
        <f t="shared" si="17"/>
        <v>513.36708127051259</v>
      </c>
    </row>
    <row r="257" spans="1:6" ht="13.8" thickBot="1" x14ac:dyDescent="0.3">
      <c r="A257" s="169"/>
      <c r="B257" s="45">
        <v>3</v>
      </c>
      <c r="C257" s="43">
        <f t="shared" si="19"/>
        <v>205860.19958947558</v>
      </c>
      <c r="D257" s="43">
        <f t="shared" si="18"/>
        <v>24703.223950737069</v>
      </c>
      <c r="E257" s="44">
        <f t="shared" si="16"/>
        <v>2058.6019958947559</v>
      </c>
      <c r="F257" s="44">
        <f t="shared" si="17"/>
        <v>514.65049897368897</v>
      </c>
    </row>
    <row r="258" spans="1:6" x14ac:dyDescent="0.25">
      <c r="A258" s="173"/>
      <c r="B258" s="45">
        <v>4</v>
      </c>
      <c r="C258" s="43">
        <f t="shared" si="19"/>
        <v>206374.85008844928</v>
      </c>
      <c r="D258" s="43">
        <f t="shared" si="18"/>
        <v>24764.982010613912</v>
      </c>
      <c r="E258" s="44">
        <f t="shared" si="16"/>
        <v>2063.7485008844928</v>
      </c>
      <c r="F258" s="44">
        <f t="shared" si="17"/>
        <v>515.93712522112321</v>
      </c>
    </row>
    <row r="259" spans="1:6" ht="13.8" thickBot="1" x14ac:dyDescent="0.3">
      <c r="A259" s="175" t="s">
        <v>106</v>
      </c>
      <c r="B259" s="47">
        <v>1</v>
      </c>
      <c r="C259" s="43">
        <f t="shared" si="19"/>
        <v>206890.78721367041</v>
      </c>
      <c r="D259" s="43">
        <f t="shared" si="18"/>
        <v>24826.894465640449</v>
      </c>
      <c r="E259" s="44">
        <f t="shared" si="16"/>
        <v>2068.9078721367041</v>
      </c>
      <c r="F259" s="44">
        <f t="shared" si="17"/>
        <v>517.22696803417602</v>
      </c>
    </row>
    <row r="260" spans="1:6" ht="13.8" thickBot="1" x14ac:dyDescent="0.3">
      <c r="A260" s="169"/>
      <c r="B260" s="45">
        <v>2</v>
      </c>
      <c r="C260" s="43">
        <f t="shared" si="19"/>
        <v>207408.01418170458</v>
      </c>
      <c r="D260" s="43">
        <f t="shared" si="18"/>
        <v>24888.96170180455</v>
      </c>
      <c r="E260" s="44">
        <f t="shared" si="16"/>
        <v>2074.0801418170458</v>
      </c>
      <c r="F260" s="44">
        <f t="shared" si="17"/>
        <v>518.52003545426146</v>
      </c>
    </row>
    <row r="261" spans="1:6" ht="13.8" thickBot="1" x14ac:dyDescent="0.3">
      <c r="A261" s="169"/>
      <c r="B261" s="45">
        <v>3</v>
      </c>
      <c r="C261" s="43">
        <f t="shared" si="19"/>
        <v>207926.53421715886</v>
      </c>
      <c r="D261" s="43">
        <f t="shared" si="18"/>
        <v>24951.184106059063</v>
      </c>
      <c r="E261" s="44">
        <f t="shared" si="16"/>
        <v>2079.2653421715886</v>
      </c>
      <c r="F261" s="44">
        <f t="shared" si="17"/>
        <v>519.81633554289715</v>
      </c>
    </row>
    <row r="262" spans="1:6" ht="13.8" thickBot="1" x14ac:dyDescent="0.3">
      <c r="A262" s="173"/>
      <c r="B262" s="45">
        <v>4</v>
      </c>
      <c r="C262" s="43">
        <f t="shared" si="19"/>
        <v>208446.35055270174</v>
      </c>
      <c r="D262" s="43">
        <f t="shared" si="18"/>
        <v>25013.562066324208</v>
      </c>
      <c r="E262" s="44">
        <f t="shared" ref="E262:E325" si="20">D262/12</f>
        <v>2084.4635055270173</v>
      </c>
      <c r="F262" s="44">
        <f t="shared" ref="F262:F325" si="21">E262/4</f>
        <v>521.11587638175433</v>
      </c>
    </row>
    <row r="263" spans="1:6" ht="13.8" thickBot="1" x14ac:dyDescent="0.3">
      <c r="A263" s="172" t="s">
        <v>107</v>
      </c>
      <c r="B263" s="45">
        <v>1</v>
      </c>
      <c r="C263" s="43">
        <f t="shared" si="19"/>
        <v>208967.46642908349</v>
      </c>
      <c r="D263" s="43">
        <f t="shared" ref="D263:D326" si="22">C263*$F$2</f>
        <v>25076.095971490016</v>
      </c>
      <c r="E263" s="44">
        <f t="shared" si="20"/>
        <v>2089.6746642908347</v>
      </c>
      <c r="F263" s="44">
        <f t="shared" si="21"/>
        <v>522.41866607270867</v>
      </c>
    </row>
    <row r="264" spans="1:6" ht="13.8" thickBot="1" x14ac:dyDescent="0.3">
      <c r="A264" s="169"/>
      <c r="B264" s="45">
        <v>2</v>
      </c>
      <c r="C264" s="43">
        <f t="shared" si="19"/>
        <v>209489.88509515621</v>
      </c>
      <c r="D264" s="43">
        <f t="shared" si="22"/>
        <v>25138.786211418745</v>
      </c>
      <c r="E264" s="44">
        <f t="shared" si="20"/>
        <v>2094.8988509515621</v>
      </c>
      <c r="F264" s="44">
        <f t="shared" si="21"/>
        <v>523.72471273789051</v>
      </c>
    </row>
    <row r="265" spans="1:6" ht="13.8" thickBot="1" x14ac:dyDescent="0.3">
      <c r="A265" s="169"/>
      <c r="B265" s="45">
        <v>3</v>
      </c>
      <c r="C265" s="43">
        <f t="shared" si="19"/>
        <v>210013.6098078941</v>
      </c>
      <c r="D265" s="43">
        <f t="shared" si="22"/>
        <v>25201.633176947293</v>
      </c>
      <c r="E265" s="44">
        <f t="shared" si="20"/>
        <v>2100.1360980789409</v>
      </c>
      <c r="F265" s="44">
        <f t="shared" si="21"/>
        <v>525.03402451973523</v>
      </c>
    </row>
    <row r="266" spans="1:6" ht="13.8" thickBot="1" x14ac:dyDescent="0.3">
      <c r="A266" s="173"/>
      <c r="B266" s="45">
        <v>4</v>
      </c>
      <c r="C266" s="43">
        <f t="shared" si="19"/>
        <v>210538.64383241383</v>
      </c>
      <c r="D266" s="43">
        <f t="shared" si="22"/>
        <v>25264.63725988966</v>
      </c>
      <c r="E266" s="44">
        <f t="shared" si="20"/>
        <v>2105.3864383241385</v>
      </c>
      <c r="F266" s="44">
        <f t="shared" si="21"/>
        <v>526.34660958103461</v>
      </c>
    </row>
    <row r="267" spans="1:6" ht="13.8" thickBot="1" x14ac:dyDescent="0.3">
      <c r="A267" s="172" t="s">
        <v>108</v>
      </c>
      <c r="B267" s="45">
        <v>1</v>
      </c>
      <c r="C267" s="43">
        <f t="shared" ref="C267:C330" si="23">IF(B267=1,C266+F266+$B$3,C266+F266)</f>
        <v>211064.99044199486</v>
      </c>
      <c r="D267" s="43">
        <f t="shared" si="22"/>
        <v>25327.798853039381</v>
      </c>
      <c r="E267" s="44">
        <f t="shared" si="20"/>
        <v>2110.6499044199486</v>
      </c>
      <c r="F267" s="44">
        <f t="shared" si="21"/>
        <v>527.66247610498715</v>
      </c>
    </row>
    <row r="268" spans="1:6" ht="13.8" thickBot="1" x14ac:dyDescent="0.3">
      <c r="A268" s="169"/>
      <c r="B268" s="45">
        <v>2</v>
      </c>
      <c r="C268" s="43">
        <f t="shared" si="23"/>
        <v>211592.65291809983</v>
      </c>
      <c r="D268" s="43">
        <f t="shared" si="22"/>
        <v>25391.118350171979</v>
      </c>
      <c r="E268" s="44">
        <f t="shared" si="20"/>
        <v>2115.9265291809984</v>
      </c>
      <c r="F268" s="44">
        <f t="shared" si="21"/>
        <v>528.9816322952496</v>
      </c>
    </row>
    <row r="269" spans="1:6" ht="13.8" thickBot="1" x14ac:dyDescent="0.3">
      <c r="A269" s="169"/>
      <c r="B269" s="45">
        <v>3</v>
      </c>
      <c r="C269" s="43">
        <f t="shared" si="23"/>
        <v>212121.63455039507</v>
      </c>
      <c r="D269" s="43">
        <f t="shared" si="22"/>
        <v>25454.596146047406</v>
      </c>
      <c r="E269" s="44">
        <f t="shared" si="20"/>
        <v>2121.2163455039504</v>
      </c>
      <c r="F269" s="44">
        <f t="shared" si="21"/>
        <v>530.30408637598759</v>
      </c>
    </row>
    <row r="270" spans="1:6" ht="13.8" thickBot="1" x14ac:dyDescent="0.3">
      <c r="A270" s="173"/>
      <c r="B270" s="45">
        <v>4</v>
      </c>
      <c r="C270" s="43">
        <f t="shared" si="23"/>
        <v>212651.93863677105</v>
      </c>
      <c r="D270" s="43">
        <f t="shared" si="22"/>
        <v>25518.232636412526</v>
      </c>
      <c r="E270" s="44">
        <f t="shared" si="20"/>
        <v>2126.5193863677105</v>
      </c>
      <c r="F270" s="44">
        <f t="shared" si="21"/>
        <v>531.62984659192762</v>
      </c>
    </row>
    <row r="271" spans="1:6" ht="13.8" thickBot="1" x14ac:dyDescent="0.3">
      <c r="A271" s="172" t="s">
        <v>109</v>
      </c>
      <c r="B271" s="45">
        <v>1</v>
      </c>
      <c r="C271" s="43">
        <f t="shared" si="23"/>
        <v>213183.56848336299</v>
      </c>
      <c r="D271" s="43">
        <f t="shared" si="22"/>
        <v>25582.028218003557</v>
      </c>
      <c r="E271" s="44">
        <f t="shared" si="20"/>
        <v>2131.8356848336298</v>
      </c>
      <c r="F271" s="44">
        <f t="shared" si="21"/>
        <v>532.95892120840745</v>
      </c>
    </row>
    <row r="272" spans="1:6" ht="13.8" thickBot="1" x14ac:dyDescent="0.3">
      <c r="A272" s="169"/>
      <c r="B272" s="45">
        <v>2</v>
      </c>
      <c r="C272" s="43">
        <f t="shared" si="23"/>
        <v>213716.52740457139</v>
      </c>
      <c r="D272" s="43">
        <f t="shared" si="22"/>
        <v>25645.983288548567</v>
      </c>
      <c r="E272" s="44">
        <f t="shared" si="20"/>
        <v>2137.1652740457139</v>
      </c>
      <c r="F272" s="44">
        <f t="shared" si="21"/>
        <v>534.29131851142847</v>
      </c>
    </row>
    <row r="273" spans="1:6" ht="13.8" thickBot="1" x14ac:dyDescent="0.3">
      <c r="A273" s="169"/>
      <c r="B273" s="45">
        <v>3</v>
      </c>
      <c r="C273" s="43">
        <f t="shared" si="23"/>
        <v>214250.8187230828</v>
      </c>
      <c r="D273" s="43">
        <f t="shared" si="22"/>
        <v>25710.098246769936</v>
      </c>
      <c r="E273" s="44">
        <f t="shared" si="20"/>
        <v>2142.5081872308278</v>
      </c>
      <c r="F273" s="44">
        <f t="shared" si="21"/>
        <v>535.62704680770696</v>
      </c>
    </row>
    <row r="274" spans="1:6" ht="13.8" thickBot="1" x14ac:dyDescent="0.3">
      <c r="A274" s="173"/>
      <c r="B274" s="45">
        <v>4</v>
      </c>
      <c r="C274" s="43">
        <f t="shared" si="23"/>
        <v>214786.4457698905</v>
      </c>
      <c r="D274" s="43">
        <f t="shared" si="22"/>
        <v>25774.373492386858</v>
      </c>
      <c r="E274" s="44">
        <f t="shared" si="20"/>
        <v>2147.864457698905</v>
      </c>
      <c r="F274" s="44">
        <f t="shared" si="21"/>
        <v>536.96611442472624</v>
      </c>
    </row>
    <row r="275" spans="1:6" ht="13.8" thickBot="1" x14ac:dyDescent="0.3">
      <c r="A275" s="172" t="s">
        <v>110</v>
      </c>
      <c r="B275" s="45">
        <v>1</v>
      </c>
      <c r="C275" s="43">
        <f t="shared" si="23"/>
        <v>215323.41188431522</v>
      </c>
      <c r="D275" s="43">
        <f t="shared" si="22"/>
        <v>25838.809426117827</v>
      </c>
      <c r="E275" s="44">
        <f t="shared" si="20"/>
        <v>2153.2341188431524</v>
      </c>
      <c r="F275" s="44">
        <f t="shared" si="21"/>
        <v>538.30852971078809</v>
      </c>
    </row>
    <row r="276" spans="1:6" ht="13.8" thickBot="1" x14ac:dyDescent="0.3">
      <c r="A276" s="169"/>
      <c r="B276" s="45">
        <v>2</v>
      </c>
      <c r="C276" s="43">
        <f t="shared" si="23"/>
        <v>215861.720414026</v>
      </c>
      <c r="D276" s="43">
        <f t="shared" si="22"/>
        <v>25903.40644968312</v>
      </c>
      <c r="E276" s="44">
        <f t="shared" si="20"/>
        <v>2158.6172041402601</v>
      </c>
      <c r="F276" s="44">
        <f t="shared" si="21"/>
        <v>539.65430103506503</v>
      </c>
    </row>
    <row r="277" spans="1:6" ht="13.8" thickBot="1" x14ac:dyDescent="0.3">
      <c r="A277" s="169"/>
      <c r="B277" s="45">
        <v>3</v>
      </c>
      <c r="C277" s="43">
        <f t="shared" si="23"/>
        <v>216401.37471506107</v>
      </c>
      <c r="D277" s="43">
        <f t="shared" si="22"/>
        <v>25968.164965807329</v>
      </c>
      <c r="E277" s="44">
        <f t="shared" si="20"/>
        <v>2164.0137471506109</v>
      </c>
      <c r="F277" s="44">
        <f t="shared" si="21"/>
        <v>541.00343678765273</v>
      </c>
    </row>
    <row r="278" spans="1:6" ht="13.8" thickBot="1" x14ac:dyDescent="0.3">
      <c r="A278" s="173"/>
      <c r="B278" s="45">
        <v>4</v>
      </c>
      <c r="C278" s="43">
        <f t="shared" si="23"/>
        <v>216942.37815184874</v>
      </c>
      <c r="D278" s="43">
        <f t="shared" si="22"/>
        <v>26033.085378221847</v>
      </c>
      <c r="E278" s="44">
        <f t="shared" si="20"/>
        <v>2169.4237815184874</v>
      </c>
      <c r="F278" s="44">
        <f t="shared" si="21"/>
        <v>542.35594537962186</v>
      </c>
    </row>
    <row r="279" spans="1:6" ht="13.8" thickBot="1" x14ac:dyDescent="0.3">
      <c r="A279" s="172" t="s">
        <v>111</v>
      </c>
      <c r="B279" s="45">
        <v>1</v>
      </c>
      <c r="C279" s="43">
        <f t="shared" si="23"/>
        <v>217484.73409722836</v>
      </c>
      <c r="D279" s="43">
        <f t="shared" si="22"/>
        <v>26098.168091667401</v>
      </c>
      <c r="E279" s="44">
        <f t="shared" si="20"/>
        <v>2174.8473409722833</v>
      </c>
      <c r="F279" s="44">
        <f t="shared" si="21"/>
        <v>543.71183524307082</v>
      </c>
    </row>
    <row r="280" spans="1:6" ht="13.8" thickBot="1" x14ac:dyDescent="0.3">
      <c r="A280" s="169"/>
      <c r="B280" s="45">
        <v>2</v>
      </c>
      <c r="C280" s="43">
        <f t="shared" si="23"/>
        <v>218028.44593247143</v>
      </c>
      <c r="D280" s="43">
        <f t="shared" si="22"/>
        <v>26163.413511896571</v>
      </c>
      <c r="E280" s="44">
        <f t="shared" si="20"/>
        <v>2180.2844593247141</v>
      </c>
      <c r="F280" s="44">
        <f t="shared" si="21"/>
        <v>545.07111483117853</v>
      </c>
    </row>
    <row r="281" spans="1:6" ht="13.8" thickBot="1" x14ac:dyDescent="0.3">
      <c r="A281" s="169"/>
      <c r="B281" s="45">
        <v>3</v>
      </c>
      <c r="C281" s="43">
        <f t="shared" si="23"/>
        <v>218573.51704730259</v>
      </c>
      <c r="D281" s="43">
        <f t="shared" si="22"/>
        <v>26228.822045676312</v>
      </c>
      <c r="E281" s="44">
        <f t="shared" si="20"/>
        <v>2185.7351704730258</v>
      </c>
      <c r="F281" s="44">
        <f t="shared" si="21"/>
        <v>546.43379261825646</v>
      </c>
    </row>
    <row r="282" spans="1:6" ht="13.8" thickBot="1" x14ac:dyDescent="0.3">
      <c r="A282" s="173"/>
      <c r="B282" s="45">
        <v>4</v>
      </c>
      <c r="C282" s="43">
        <f t="shared" si="23"/>
        <v>219119.95083992084</v>
      </c>
      <c r="D282" s="43">
        <f t="shared" si="22"/>
        <v>26294.394100790501</v>
      </c>
      <c r="E282" s="44">
        <f t="shared" si="20"/>
        <v>2191.1995083992083</v>
      </c>
      <c r="F282" s="44">
        <f t="shared" si="21"/>
        <v>547.79987709980207</v>
      </c>
    </row>
    <row r="283" spans="1:6" ht="13.8" thickBot="1" x14ac:dyDescent="0.3">
      <c r="A283" s="172" t="s">
        <v>112</v>
      </c>
      <c r="B283" s="45">
        <v>1</v>
      </c>
      <c r="C283" s="43">
        <f t="shared" si="23"/>
        <v>219667.75071702065</v>
      </c>
      <c r="D283" s="43">
        <f t="shared" si="22"/>
        <v>26360.130086042478</v>
      </c>
      <c r="E283" s="44">
        <f t="shared" si="20"/>
        <v>2196.6775071702064</v>
      </c>
      <c r="F283" s="44">
        <f t="shared" si="21"/>
        <v>549.16937679255159</v>
      </c>
    </row>
    <row r="284" spans="1:6" ht="13.8" thickBot="1" x14ac:dyDescent="0.3">
      <c r="A284" s="169"/>
      <c r="B284" s="45">
        <v>2</v>
      </c>
      <c r="C284" s="43">
        <f t="shared" si="23"/>
        <v>220216.92009381321</v>
      </c>
      <c r="D284" s="43">
        <f t="shared" si="22"/>
        <v>26426.030411257583</v>
      </c>
      <c r="E284" s="44">
        <f t="shared" si="20"/>
        <v>2202.1692009381318</v>
      </c>
      <c r="F284" s="44">
        <f t="shared" si="21"/>
        <v>550.54230023453295</v>
      </c>
    </row>
    <row r="285" spans="1:6" ht="13.8" thickBot="1" x14ac:dyDescent="0.3">
      <c r="A285" s="169"/>
      <c r="B285" s="45">
        <v>3</v>
      </c>
      <c r="C285" s="43">
        <f t="shared" si="23"/>
        <v>220767.46239404773</v>
      </c>
      <c r="D285" s="43">
        <f t="shared" si="22"/>
        <v>26492.095487285726</v>
      </c>
      <c r="E285" s="44">
        <f t="shared" si="20"/>
        <v>2207.674623940477</v>
      </c>
      <c r="F285" s="44">
        <f t="shared" si="21"/>
        <v>551.91865598511924</v>
      </c>
    </row>
    <row r="286" spans="1:6" ht="13.8" thickBot="1" x14ac:dyDescent="0.3">
      <c r="A286" s="173"/>
      <c r="B286" s="45">
        <v>4</v>
      </c>
      <c r="C286" s="43">
        <f t="shared" si="23"/>
        <v>221319.38105003285</v>
      </c>
      <c r="D286" s="43">
        <f t="shared" si="22"/>
        <v>26558.325726003943</v>
      </c>
      <c r="E286" s="44">
        <f t="shared" si="20"/>
        <v>2213.1938105003287</v>
      </c>
      <c r="F286" s="44">
        <f t="shared" si="21"/>
        <v>553.29845262508218</v>
      </c>
    </row>
    <row r="287" spans="1:6" ht="13.8" thickBot="1" x14ac:dyDescent="0.3">
      <c r="A287" s="172" t="s">
        <v>113</v>
      </c>
      <c r="B287" s="45">
        <v>1</v>
      </c>
      <c r="C287" s="43">
        <f t="shared" si="23"/>
        <v>221872.67950265793</v>
      </c>
      <c r="D287" s="43">
        <f t="shared" si="22"/>
        <v>26624.721540318951</v>
      </c>
      <c r="E287" s="44">
        <f t="shared" si="20"/>
        <v>2218.7267950265791</v>
      </c>
      <c r="F287" s="44">
        <f t="shared" si="21"/>
        <v>554.68169875664478</v>
      </c>
    </row>
    <row r="288" spans="1:6" ht="13.8" thickBot="1" x14ac:dyDescent="0.3">
      <c r="A288" s="169"/>
      <c r="B288" s="45">
        <v>2</v>
      </c>
      <c r="C288" s="43">
        <f t="shared" si="23"/>
        <v>222427.36120141458</v>
      </c>
      <c r="D288" s="43">
        <f t="shared" si="22"/>
        <v>26691.283344169748</v>
      </c>
      <c r="E288" s="44">
        <f t="shared" si="20"/>
        <v>2224.2736120141458</v>
      </c>
      <c r="F288" s="44">
        <f t="shared" si="21"/>
        <v>556.06840300353645</v>
      </c>
    </row>
    <row r="289" spans="1:6" ht="13.8" thickBot="1" x14ac:dyDescent="0.3">
      <c r="A289" s="169"/>
      <c r="B289" s="45">
        <v>3</v>
      </c>
      <c r="C289" s="43">
        <f t="shared" si="23"/>
        <v>222983.42960441811</v>
      </c>
      <c r="D289" s="43">
        <f t="shared" si="22"/>
        <v>26758.011552530174</v>
      </c>
      <c r="E289" s="44">
        <f t="shared" si="20"/>
        <v>2229.834296044181</v>
      </c>
      <c r="F289" s="44">
        <f t="shared" si="21"/>
        <v>557.45857401104524</v>
      </c>
    </row>
    <row r="290" spans="1:6" ht="13.8" thickBot="1" x14ac:dyDescent="0.3">
      <c r="A290" s="173"/>
      <c r="B290" s="45">
        <v>4</v>
      </c>
      <c r="C290" s="43">
        <f t="shared" si="23"/>
        <v>223540.88817842916</v>
      </c>
      <c r="D290" s="43">
        <f t="shared" si="22"/>
        <v>26824.906581411498</v>
      </c>
      <c r="E290" s="44">
        <f t="shared" si="20"/>
        <v>2235.4088817842917</v>
      </c>
      <c r="F290" s="44">
        <f t="shared" si="21"/>
        <v>558.85222044607292</v>
      </c>
    </row>
    <row r="291" spans="1:6" ht="13.8" thickBot="1" x14ac:dyDescent="0.3">
      <c r="A291" s="172" t="s">
        <v>114</v>
      </c>
      <c r="B291" s="45">
        <v>1</v>
      </c>
      <c r="C291" s="43">
        <f t="shared" si="23"/>
        <v>224099.74039887523</v>
      </c>
      <c r="D291" s="43">
        <f t="shared" si="22"/>
        <v>26891.968847865028</v>
      </c>
      <c r="E291" s="44">
        <f t="shared" si="20"/>
        <v>2240.9974039887525</v>
      </c>
      <c r="F291" s="44">
        <f t="shared" si="21"/>
        <v>560.24935099718812</v>
      </c>
    </row>
    <row r="292" spans="1:6" ht="13.8" thickBot="1" x14ac:dyDescent="0.3">
      <c r="A292" s="169"/>
      <c r="B292" s="45">
        <v>2</v>
      </c>
      <c r="C292" s="43">
        <f t="shared" si="23"/>
        <v>224659.98974987242</v>
      </c>
      <c r="D292" s="43">
        <f t="shared" si="22"/>
        <v>26959.19876998469</v>
      </c>
      <c r="E292" s="44">
        <f t="shared" si="20"/>
        <v>2246.5998974987242</v>
      </c>
      <c r="F292" s="44">
        <f t="shared" si="21"/>
        <v>561.64997437468105</v>
      </c>
    </row>
    <row r="293" spans="1:6" ht="13.8" thickBot="1" x14ac:dyDescent="0.3">
      <c r="A293" s="169"/>
      <c r="B293" s="45">
        <v>3</v>
      </c>
      <c r="C293" s="43">
        <f t="shared" si="23"/>
        <v>225221.6397242471</v>
      </c>
      <c r="D293" s="43">
        <f t="shared" si="22"/>
        <v>27026.59676690965</v>
      </c>
      <c r="E293" s="44">
        <f t="shared" si="20"/>
        <v>2252.216397242471</v>
      </c>
      <c r="F293" s="44">
        <f t="shared" si="21"/>
        <v>563.05409931061774</v>
      </c>
    </row>
    <row r="294" spans="1:6" ht="13.8" thickBot="1" x14ac:dyDescent="0.3">
      <c r="A294" s="173"/>
      <c r="B294" s="45">
        <v>4</v>
      </c>
      <c r="C294" s="43">
        <f t="shared" si="23"/>
        <v>225784.69382355773</v>
      </c>
      <c r="D294" s="43">
        <f t="shared" si="22"/>
        <v>27094.163258826928</v>
      </c>
      <c r="E294" s="44">
        <f t="shared" si="20"/>
        <v>2257.8469382355775</v>
      </c>
      <c r="F294" s="44">
        <f t="shared" si="21"/>
        <v>564.46173455889436</v>
      </c>
    </row>
    <row r="295" spans="1:6" ht="13.8" thickBot="1" x14ac:dyDescent="0.3">
      <c r="A295" s="172" t="s">
        <v>115</v>
      </c>
      <c r="B295" s="45">
        <v>1</v>
      </c>
      <c r="C295" s="43">
        <f t="shared" si="23"/>
        <v>226349.15555811662</v>
      </c>
      <c r="D295" s="43">
        <f t="shared" si="22"/>
        <v>27161.898666973993</v>
      </c>
      <c r="E295" s="44">
        <f t="shared" si="20"/>
        <v>2263.4915555811663</v>
      </c>
      <c r="F295" s="44">
        <f t="shared" si="21"/>
        <v>565.87288889529157</v>
      </c>
    </row>
    <row r="296" spans="1:6" ht="13.8" thickBot="1" x14ac:dyDescent="0.3">
      <c r="A296" s="169"/>
      <c r="B296" s="45">
        <v>2</v>
      </c>
      <c r="C296" s="43">
        <f t="shared" si="23"/>
        <v>226915.02844701192</v>
      </c>
      <c r="D296" s="43">
        <f t="shared" si="22"/>
        <v>27229.803413641428</v>
      </c>
      <c r="E296" s="44">
        <f t="shared" si="20"/>
        <v>2269.150284470119</v>
      </c>
      <c r="F296" s="44">
        <f t="shared" si="21"/>
        <v>567.28757111752975</v>
      </c>
    </row>
    <row r="297" spans="1:6" ht="13.8" thickBot="1" x14ac:dyDescent="0.3">
      <c r="A297" s="169"/>
      <c r="B297" s="45">
        <v>3</v>
      </c>
      <c r="C297" s="43">
        <f t="shared" si="23"/>
        <v>227482.31601812947</v>
      </c>
      <c r="D297" s="43">
        <f t="shared" si="22"/>
        <v>27297.877922175536</v>
      </c>
      <c r="E297" s="44">
        <f t="shared" si="20"/>
        <v>2274.8231601812945</v>
      </c>
      <c r="F297" s="44">
        <f t="shared" si="21"/>
        <v>568.70579004532362</v>
      </c>
    </row>
    <row r="298" spans="1:6" ht="13.8" thickBot="1" x14ac:dyDescent="0.3">
      <c r="A298" s="173"/>
      <c r="B298" s="45">
        <v>4</v>
      </c>
      <c r="C298" s="43">
        <f t="shared" si="23"/>
        <v>228051.02180817479</v>
      </c>
      <c r="D298" s="43">
        <f t="shared" si="22"/>
        <v>27366.122616980974</v>
      </c>
      <c r="E298" s="44">
        <f t="shared" si="20"/>
        <v>2280.510218081748</v>
      </c>
      <c r="F298" s="44">
        <f t="shared" si="21"/>
        <v>570.127554520437</v>
      </c>
    </row>
    <row r="299" spans="1:6" ht="13.8" thickBot="1" x14ac:dyDescent="0.3">
      <c r="A299" s="172" t="s">
        <v>116</v>
      </c>
      <c r="B299" s="45">
        <v>1</v>
      </c>
      <c r="C299" s="43">
        <f t="shared" si="23"/>
        <v>228621.14936269523</v>
      </c>
      <c r="D299" s="43">
        <f t="shared" si="22"/>
        <v>27434.537923523425</v>
      </c>
      <c r="E299" s="44">
        <f t="shared" si="20"/>
        <v>2286.2114936269522</v>
      </c>
      <c r="F299" s="44">
        <f t="shared" si="21"/>
        <v>571.55287340673806</v>
      </c>
    </row>
    <row r="300" spans="1:6" ht="13.8" thickBot="1" x14ac:dyDescent="0.3">
      <c r="A300" s="169"/>
      <c r="B300" s="45">
        <v>2</v>
      </c>
      <c r="C300" s="43">
        <f t="shared" si="23"/>
        <v>229192.70223610196</v>
      </c>
      <c r="D300" s="43">
        <f t="shared" si="22"/>
        <v>27503.124268332234</v>
      </c>
      <c r="E300" s="44">
        <f t="shared" si="20"/>
        <v>2291.9270223610197</v>
      </c>
      <c r="F300" s="44">
        <f t="shared" si="21"/>
        <v>572.98175559025492</v>
      </c>
    </row>
    <row r="301" spans="1:6" ht="13.8" thickBot="1" x14ac:dyDescent="0.3">
      <c r="A301" s="169"/>
      <c r="B301" s="45">
        <v>3</v>
      </c>
      <c r="C301" s="43">
        <f t="shared" si="23"/>
        <v>229765.6839916922</v>
      </c>
      <c r="D301" s="43">
        <f t="shared" si="22"/>
        <v>27571.882079003062</v>
      </c>
      <c r="E301" s="44">
        <f t="shared" si="20"/>
        <v>2297.6568399169219</v>
      </c>
      <c r="F301" s="44">
        <f t="shared" si="21"/>
        <v>574.41420997923046</v>
      </c>
    </row>
    <row r="302" spans="1:6" ht="13.8" thickBot="1" x14ac:dyDescent="0.3">
      <c r="A302" s="173"/>
      <c r="B302" s="45">
        <v>4</v>
      </c>
      <c r="C302" s="43">
        <f t="shared" si="23"/>
        <v>230340.09820167144</v>
      </c>
      <c r="D302" s="43">
        <f t="shared" si="22"/>
        <v>27640.81178420057</v>
      </c>
      <c r="E302" s="44">
        <f t="shared" si="20"/>
        <v>2303.4009820167144</v>
      </c>
      <c r="F302" s="44">
        <f t="shared" si="21"/>
        <v>575.85024550417859</v>
      </c>
    </row>
    <row r="303" spans="1:6" ht="13.8" thickBot="1" x14ac:dyDescent="0.3">
      <c r="A303" s="172" t="s">
        <v>117</v>
      </c>
      <c r="B303" s="45">
        <v>1</v>
      </c>
      <c r="C303" s="43">
        <f t="shared" si="23"/>
        <v>230915.94844717562</v>
      </c>
      <c r="D303" s="43">
        <f t="shared" si="22"/>
        <v>27709.913813661075</v>
      </c>
      <c r="E303" s="44">
        <f t="shared" si="20"/>
        <v>2309.1594844717561</v>
      </c>
      <c r="F303" s="44">
        <f t="shared" si="21"/>
        <v>577.28987111793901</v>
      </c>
    </row>
    <row r="304" spans="1:6" ht="13.8" thickBot="1" x14ac:dyDescent="0.3">
      <c r="A304" s="169"/>
      <c r="B304" s="45">
        <v>2</v>
      </c>
      <c r="C304" s="43">
        <f t="shared" si="23"/>
        <v>231493.23831829356</v>
      </c>
      <c r="D304" s="43">
        <f t="shared" si="22"/>
        <v>27779.188598195225</v>
      </c>
      <c r="E304" s="44">
        <f t="shared" si="20"/>
        <v>2314.9323831829356</v>
      </c>
      <c r="F304" s="44">
        <f t="shared" si="21"/>
        <v>578.7330957957339</v>
      </c>
    </row>
    <row r="305" spans="1:6" ht="13.8" thickBot="1" x14ac:dyDescent="0.3">
      <c r="A305" s="169"/>
      <c r="B305" s="45">
        <v>3</v>
      </c>
      <c r="C305" s="43">
        <f t="shared" si="23"/>
        <v>232071.97141408929</v>
      </c>
      <c r="D305" s="43">
        <f t="shared" si="22"/>
        <v>27848.636569690712</v>
      </c>
      <c r="E305" s="44">
        <f t="shared" si="20"/>
        <v>2320.7197141408928</v>
      </c>
      <c r="F305" s="44">
        <f t="shared" si="21"/>
        <v>580.17992853522321</v>
      </c>
    </row>
    <row r="306" spans="1:6" x14ac:dyDescent="0.25">
      <c r="A306" s="173"/>
      <c r="B306" s="45">
        <v>4</v>
      </c>
      <c r="C306" s="43">
        <f t="shared" si="23"/>
        <v>232652.15134262451</v>
      </c>
      <c r="D306" s="43">
        <f t="shared" si="22"/>
        <v>27918.25816111494</v>
      </c>
      <c r="E306" s="44">
        <f t="shared" si="20"/>
        <v>2326.5215134262448</v>
      </c>
      <c r="F306" s="44">
        <f t="shared" si="21"/>
        <v>581.63037835656121</v>
      </c>
    </row>
    <row r="307" spans="1:6" ht="13.8" thickBot="1" x14ac:dyDescent="0.3">
      <c r="A307" s="175" t="s">
        <v>118</v>
      </c>
      <c r="B307" s="47">
        <v>1</v>
      </c>
      <c r="C307" s="43">
        <f t="shared" si="23"/>
        <v>233233.78172098106</v>
      </c>
      <c r="D307" s="43">
        <f t="shared" si="22"/>
        <v>27988.053806517728</v>
      </c>
      <c r="E307" s="44">
        <f t="shared" si="20"/>
        <v>2332.3378172098105</v>
      </c>
      <c r="F307" s="44">
        <f t="shared" si="21"/>
        <v>583.08445430245263</v>
      </c>
    </row>
    <row r="308" spans="1:6" ht="13.8" thickBot="1" x14ac:dyDescent="0.3">
      <c r="A308" s="169"/>
      <c r="B308" s="45">
        <v>2</v>
      </c>
      <c r="C308" s="43">
        <f t="shared" si="23"/>
        <v>233816.8661752835</v>
      </c>
      <c r="D308" s="43">
        <f t="shared" si="22"/>
        <v>28058.023941034018</v>
      </c>
      <c r="E308" s="44">
        <f t="shared" si="20"/>
        <v>2338.1686617528349</v>
      </c>
      <c r="F308" s="44">
        <f t="shared" si="21"/>
        <v>584.54216543820871</v>
      </c>
    </row>
    <row r="309" spans="1:6" ht="13.8" thickBot="1" x14ac:dyDescent="0.3">
      <c r="A309" s="169"/>
      <c r="B309" s="45">
        <v>3</v>
      </c>
      <c r="C309" s="43">
        <f t="shared" si="23"/>
        <v>234401.40834072171</v>
      </c>
      <c r="D309" s="43">
        <f t="shared" si="22"/>
        <v>28128.169000886603</v>
      </c>
      <c r="E309" s="44">
        <f t="shared" si="20"/>
        <v>2344.0140834072167</v>
      </c>
      <c r="F309" s="44">
        <f t="shared" si="21"/>
        <v>586.00352085180418</v>
      </c>
    </row>
    <row r="310" spans="1:6" ht="13.8" thickBot="1" x14ac:dyDescent="0.3">
      <c r="A310" s="173"/>
      <c r="B310" s="45">
        <v>4</v>
      </c>
      <c r="C310" s="43">
        <f t="shared" si="23"/>
        <v>234987.41186157352</v>
      </c>
      <c r="D310" s="43">
        <f t="shared" si="22"/>
        <v>28198.489423388823</v>
      </c>
      <c r="E310" s="44">
        <f t="shared" si="20"/>
        <v>2349.8741186157354</v>
      </c>
      <c r="F310" s="44">
        <f t="shared" si="21"/>
        <v>587.46852965393384</v>
      </c>
    </row>
    <row r="311" spans="1:6" ht="13.8" thickBot="1" x14ac:dyDescent="0.3">
      <c r="A311" s="172" t="s">
        <v>119</v>
      </c>
      <c r="B311" s="45">
        <v>1</v>
      </c>
      <c r="C311" s="43">
        <f t="shared" si="23"/>
        <v>235574.88039122746</v>
      </c>
      <c r="D311" s="43">
        <f t="shared" si="22"/>
        <v>28268.985646947294</v>
      </c>
      <c r="E311" s="44">
        <f t="shared" si="20"/>
        <v>2355.7488039122745</v>
      </c>
      <c r="F311" s="44">
        <f t="shared" si="21"/>
        <v>588.93720097806863</v>
      </c>
    </row>
    <row r="312" spans="1:6" ht="13.8" thickBot="1" x14ac:dyDescent="0.3">
      <c r="A312" s="169"/>
      <c r="B312" s="45">
        <v>2</v>
      </c>
      <c r="C312" s="43">
        <f t="shared" si="23"/>
        <v>236163.81759220554</v>
      </c>
      <c r="D312" s="43">
        <f t="shared" si="22"/>
        <v>28339.658111064662</v>
      </c>
      <c r="E312" s="44">
        <f t="shared" si="20"/>
        <v>2361.6381759220553</v>
      </c>
      <c r="F312" s="44">
        <f t="shared" si="21"/>
        <v>590.40954398051383</v>
      </c>
    </row>
    <row r="313" spans="1:6" ht="13.8" thickBot="1" x14ac:dyDescent="0.3">
      <c r="A313" s="169"/>
      <c r="B313" s="45">
        <v>3</v>
      </c>
      <c r="C313" s="43">
        <f t="shared" si="23"/>
        <v>236754.22713618606</v>
      </c>
      <c r="D313" s="43">
        <f t="shared" si="22"/>
        <v>28410.507256342327</v>
      </c>
      <c r="E313" s="44">
        <f t="shared" si="20"/>
        <v>2367.5422713618605</v>
      </c>
      <c r="F313" s="44">
        <f t="shared" si="21"/>
        <v>591.88556784046511</v>
      </c>
    </row>
    <row r="314" spans="1:6" ht="13.8" thickBot="1" x14ac:dyDescent="0.3">
      <c r="A314" s="173"/>
      <c r="B314" s="45">
        <v>4</v>
      </c>
      <c r="C314" s="43">
        <f t="shared" si="23"/>
        <v>237346.11270402651</v>
      </c>
      <c r="D314" s="43">
        <f t="shared" si="22"/>
        <v>28481.53352448318</v>
      </c>
      <c r="E314" s="44">
        <f t="shared" si="20"/>
        <v>2373.4611270402652</v>
      </c>
      <c r="F314" s="44">
        <f t="shared" si="21"/>
        <v>593.3652817600663</v>
      </c>
    </row>
    <row r="315" spans="1:6" ht="13.8" thickBot="1" x14ac:dyDescent="0.3">
      <c r="A315" s="172" t="s">
        <v>120</v>
      </c>
      <c r="B315" s="45">
        <v>1</v>
      </c>
      <c r="C315" s="43">
        <f t="shared" si="23"/>
        <v>237939.47798578657</v>
      </c>
      <c r="D315" s="43">
        <f t="shared" si="22"/>
        <v>28552.737358294387</v>
      </c>
      <c r="E315" s="44">
        <f t="shared" si="20"/>
        <v>2379.3947798578656</v>
      </c>
      <c r="F315" s="44">
        <f t="shared" si="21"/>
        <v>594.8486949644664</v>
      </c>
    </row>
    <row r="316" spans="1:6" ht="13.8" thickBot="1" x14ac:dyDescent="0.3">
      <c r="A316" s="169"/>
      <c r="B316" s="45">
        <v>2</v>
      </c>
      <c r="C316" s="43">
        <f t="shared" si="23"/>
        <v>238534.32668075102</v>
      </c>
      <c r="D316" s="43">
        <f t="shared" si="22"/>
        <v>28624.119201690122</v>
      </c>
      <c r="E316" s="44">
        <f t="shared" si="20"/>
        <v>2385.3432668075102</v>
      </c>
      <c r="F316" s="44">
        <f t="shared" si="21"/>
        <v>596.33581670187755</v>
      </c>
    </row>
    <row r="317" spans="1:6" ht="13.8" thickBot="1" x14ac:dyDescent="0.3">
      <c r="A317" s="169"/>
      <c r="B317" s="45">
        <v>3</v>
      </c>
      <c r="C317" s="43">
        <f t="shared" si="23"/>
        <v>239130.6624974529</v>
      </c>
      <c r="D317" s="43">
        <f t="shared" si="22"/>
        <v>28695.679499694346</v>
      </c>
      <c r="E317" s="44">
        <f t="shared" si="20"/>
        <v>2391.3066249745289</v>
      </c>
      <c r="F317" s="44">
        <f t="shared" si="21"/>
        <v>597.82665624363221</v>
      </c>
    </row>
    <row r="318" spans="1:6" ht="13.8" thickBot="1" x14ac:dyDescent="0.3">
      <c r="A318" s="173"/>
      <c r="B318" s="45">
        <v>4</v>
      </c>
      <c r="C318" s="43">
        <f t="shared" si="23"/>
        <v>239728.48915369652</v>
      </c>
      <c r="D318" s="43">
        <f t="shared" si="22"/>
        <v>28767.41869844358</v>
      </c>
      <c r="E318" s="44">
        <f t="shared" si="20"/>
        <v>2397.284891536965</v>
      </c>
      <c r="F318" s="44">
        <f t="shared" si="21"/>
        <v>599.32122288424125</v>
      </c>
    </row>
    <row r="319" spans="1:6" ht="13.8" thickBot="1" x14ac:dyDescent="0.3">
      <c r="A319" s="172" t="s">
        <v>121</v>
      </c>
      <c r="B319" s="45">
        <v>1</v>
      </c>
      <c r="C319" s="43">
        <f t="shared" si="23"/>
        <v>240327.81037658075</v>
      </c>
      <c r="D319" s="43">
        <f t="shared" si="22"/>
        <v>28839.33724518969</v>
      </c>
      <c r="E319" s="44">
        <f t="shared" si="20"/>
        <v>2403.2781037658074</v>
      </c>
      <c r="F319" s="44">
        <f t="shared" si="21"/>
        <v>600.81952594145184</v>
      </c>
    </row>
    <row r="320" spans="1:6" ht="13.8" thickBot="1" x14ac:dyDescent="0.3">
      <c r="A320" s="169"/>
      <c r="B320" s="45">
        <v>2</v>
      </c>
      <c r="C320" s="43">
        <f t="shared" si="23"/>
        <v>240928.6299025222</v>
      </c>
      <c r="D320" s="43">
        <f t="shared" si="22"/>
        <v>28911.435588302662</v>
      </c>
      <c r="E320" s="44">
        <f t="shared" si="20"/>
        <v>2409.286299025222</v>
      </c>
      <c r="F320" s="44">
        <f t="shared" si="21"/>
        <v>602.32157475630549</v>
      </c>
    </row>
    <row r="321" spans="1:6" ht="13.8" thickBot="1" x14ac:dyDescent="0.3">
      <c r="A321" s="169"/>
      <c r="B321" s="45">
        <v>3</v>
      </c>
      <c r="C321" s="43">
        <f t="shared" si="23"/>
        <v>241530.95147727849</v>
      </c>
      <c r="D321" s="43">
        <f t="shared" si="22"/>
        <v>28983.714177273418</v>
      </c>
      <c r="E321" s="44">
        <f t="shared" si="20"/>
        <v>2415.309514772785</v>
      </c>
      <c r="F321" s="44">
        <f t="shared" si="21"/>
        <v>603.82737869319624</v>
      </c>
    </row>
    <row r="322" spans="1:6" ht="13.8" thickBot="1" x14ac:dyDescent="0.3">
      <c r="A322" s="173"/>
      <c r="B322" s="45">
        <v>4</v>
      </c>
      <c r="C322" s="43">
        <f t="shared" si="23"/>
        <v>242134.77885597167</v>
      </c>
      <c r="D322" s="43">
        <f t="shared" si="22"/>
        <v>29056.173462716601</v>
      </c>
      <c r="E322" s="44">
        <f t="shared" si="20"/>
        <v>2421.3477885597167</v>
      </c>
      <c r="F322" s="44">
        <f t="shared" si="21"/>
        <v>605.33694713992918</v>
      </c>
    </row>
    <row r="323" spans="1:6" ht="13.8" thickBot="1" x14ac:dyDescent="0.3">
      <c r="A323" s="172" t="s">
        <v>122</v>
      </c>
      <c r="B323" s="45">
        <v>1</v>
      </c>
      <c r="C323" s="43">
        <f t="shared" si="23"/>
        <v>242740.11580311161</v>
      </c>
      <c r="D323" s="43">
        <f t="shared" si="22"/>
        <v>29128.813896373391</v>
      </c>
      <c r="E323" s="44">
        <f t="shared" si="20"/>
        <v>2427.4011580311158</v>
      </c>
      <c r="F323" s="44">
        <f t="shared" si="21"/>
        <v>606.85028950777894</v>
      </c>
    </row>
    <row r="324" spans="1:6" ht="13.8" thickBot="1" x14ac:dyDescent="0.3">
      <c r="A324" s="169"/>
      <c r="B324" s="45">
        <v>2</v>
      </c>
      <c r="C324" s="43">
        <f t="shared" si="23"/>
        <v>243346.96609261938</v>
      </c>
      <c r="D324" s="43">
        <f t="shared" si="22"/>
        <v>29201.635931114324</v>
      </c>
      <c r="E324" s="44">
        <f t="shared" si="20"/>
        <v>2433.4696609261937</v>
      </c>
      <c r="F324" s="44">
        <f t="shared" si="21"/>
        <v>608.36741523154842</v>
      </c>
    </row>
    <row r="325" spans="1:6" ht="13.8" thickBot="1" x14ac:dyDescent="0.3">
      <c r="A325" s="169"/>
      <c r="B325" s="45">
        <v>3</v>
      </c>
      <c r="C325" s="43">
        <f t="shared" si="23"/>
        <v>243955.33350785091</v>
      </c>
      <c r="D325" s="43">
        <f t="shared" si="22"/>
        <v>29274.640020942108</v>
      </c>
      <c r="E325" s="44">
        <f t="shared" si="20"/>
        <v>2439.553335078509</v>
      </c>
      <c r="F325" s="44">
        <f t="shared" si="21"/>
        <v>609.88833376962725</v>
      </c>
    </row>
    <row r="326" spans="1:6" ht="13.8" thickBot="1" x14ac:dyDescent="0.3">
      <c r="A326" s="173"/>
      <c r="B326" s="45">
        <v>4</v>
      </c>
      <c r="C326" s="43">
        <f t="shared" si="23"/>
        <v>244565.22184162054</v>
      </c>
      <c r="D326" s="43">
        <f t="shared" si="22"/>
        <v>29347.826620994463</v>
      </c>
      <c r="E326" s="44">
        <f t="shared" ref="E326:E389" si="24">D326/12</f>
        <v>2445.6522184162054</v>
      </c>
      <c r="F326" s="44">
        <f t="shared" ref="F326:F389" si="25">E326/4</f>
        <v>611.41305460405135</v>
      </c>
    </row>
    <row r="327" spans="1:6" ht="13.8" thickBot="1" x14ac:dyDescent="0.3">
      <c r="A327" s="172" t="s">
        <v>123</v>
      </c>
      <c r="B327" s="45">
        <v>1</v>
      </c>
      <c r="C327" s="43">
        <f t="shared" si="23"/>
        <v>245176.6348962246</v>
      </c>
      <c r="D327" s="43">
        <f t="shared" ref="D327:D390" si="26">C327*$F$2</f>
        <v>29421.19618754695</v>
      </c>
      <c r="E327" s="44">
        <f t="shared" si="24"/>
        <v>2451.766348962246</v>
      </c>
      <c r="F327" s="44">
        <f t="shared" si="25"/>
        <v>612.94158724056149</v>
      </c>
    </row>
    <row r="328" spans="1:6" ht="13.8" thickBot="1" x14ac:dyDescent="0.3">
      <c r="A328" s="169"/>
      <c r="B328" s="45">
        <v>2</v>
      </c>
      <c r="C328" s="43">
        <f t="shared" si="23"/>
        <v>245789.57648346515</v>
      </c>
      <c r="D328" s="43">
        <f t="shared" si="26"/>
        <v>29494.749178015816</v>
      </c>
      <c r="E328" s="44">
        <f t="shared" si="24"/>
        <v>2457.8957648346513</v>
      </c>
      <c r="F328" s="44">
        <f t="shared" si="25"/>
        <v>614.47394120866284</v>
      </c>
    </row>
    <row r="329" spans="1:6" ht="13.8" thickBot="1" x14ac:dyDescent="0.3">
      <c r="A329" s="169"/>
      <c r="B329" s="45">
        <v>3</v>
      </c>
      <c r="C329" s="43">
        <f t="shared" si="23"/>
        <v>246404.0504246738</v>
      </c>
      <c r="D329" s="43">
        <f t="shared" si="26"/>
        <v>29568.486050960855</v>
      </c>
      <c r="E329" s="44">
        <f t="shared" si="24"/>
        <v>2464.0405042467378</v>
      </c>
      <c r="F329" s="44">
        <f t="shared" si="25"/>
        <v>616.01012606168445</v>
      </c>
    </row>
    <row r="330" spans="1:6" ht="13.8" thickBot="1" x14ac:dyDescent="0.3">
      <c r="A330" s="173"/>
      <c r="B330" s="45">
        <v>4</v>
      </c>
      <c r="C330" s="43">
        <f t="shared" si="23"/>
        <v>247020.06055073548</v>
      </c>
      <c r="D330" s="43">
        <f t="shared" si="26"/>
        <v>29642.407266088256</v>
      </c>
      <c r="E330" s="44">
        <f t="shared" si="24"/>
        <v>2470.2006055073548</v>
      </c>
      <c r="F330" s="44">
        <f t="shared" si="25"/>
        <v>617.5501513768387</v>
      </c>
    </row>
    <row r="331" spans="1:6" ht="13.8" thickBot="1" x14ac:dyDescent="0.3">
      <c r="A331" s="172" t="s">
        <v>124</v>
      </c>
      <c r="B331" s="45">
        <v>1</v>
      </c>
      <c r="C331" s="43">
        <f t="shared" ref="C331:C394" si="27">IF(B331=1,C330+F330+$B$3,C330+F330)</f>
        <v>247637.61070211232</v>
      </c>
      <c r="D331" s="43">
        <f t="shared" si="26"/>
        <v>29716.513284253477</v>
      </c>
      <c r="E331" s="44">
        <f t="shared" si="24"/>
        <v>2476.3761070211231</v>
      </c>
      <c r="F331" s="44">
        <f t="shared" si="25"/>
        <v>619.09402675528077</v>
      </c>
    </row>
    <row r="332" spans="1:6" ht="13.8" thickBot="1" x14ac:dyDescent="0.3">
      <c r="A332" s="169"/>
      <c r="B332" s="45">
        <v>2</v>
      </c>
      <c r="C332" s="43">
        <f t="shared" si="27"/>
        <v>248256.7047288676</v>
      </c>
      <c r="D332" s="43">
        <f t="shared" si="26"/>
        <v>29790.804567464111</v>
      </c>
      <c r="E332" s="44">
        <f t="shared" si="24"/>
        <v>2482.5670472886759</v>
      </c>
      <c r="F332" s="44">
        <f t="shared" si="25"/>
        <v>620.64176182216897</v>
      </c>
    </row>
    <row r="333" spans="1:6" ht="13.8" thickBot="1" x14ac:dyDescent="0.3">
      <c r="A333" s="169"/>
      <c r="B333" s="45">
        <v>3</v>
      </c>
      <c r="C333" s="43">
        <f t="shared" si="27"/>
        <v>248877.34649068976</v>
      </c>
      <c r="D333" s="43">
        <f t="shared" si="26"/>
        <v>29865.281578882768</v>
      </c>
      <c r="E333" s="44">
        <f t="shared" si="24"/>
        <v>2488.7734649068975</v>
      </c>
      <c r="F333" s="44">
        <f t="shared" si="25"/>
        <v>622.19336622672438</v>
      </c>
    </row>
    <row r="334" spans="1:6" ht="13.8" thickBot="1" x14ac:dyDescent="0.3">
      <c r="A334" s="173"/>
      <c r="B334" s="45">
        <v>4</v>
      </c>
      <c r="C334" s="43">
        <f t="shared" si="27"/>
        <v>249499.53985691647</v>
      </c>
      <c r="D334" s="43">
        <f t="shared" si="26"/>
        <v>29939.944782829974</v>
      </c>
      <c r="E334" s="44">
        <f t="shared" si="24"/>
        <v>2494.9953985691645</v>
      </c>
      <c r="F334" s="44">
        <f t="shared" si="25"/>
        <v>623.74884964229113</v>
      </c>
    </row>
    <row r="335" spans="1:6" ht="13.8" thickBot="1" x14ac:dyDescent="0.3">
      <c r="A335" s="172" t="s">
        <v>125</v>
      </c>
      <c r="B335" s="45">
        <v>1</v>
      </c>
      <c r="C335" s="43">
        <f t="shared" si="27"/>
        <v>250123.28870655876</v>
      </c>
      <c r="D335" s="43">
        <f t="shared" si="26"/>
        <v>30014.794644787049</v>
      </c>
      <c r="E335" s="44">
        <f t="shared" si="24"/>
        <v>2501.2328870655874</v>
      </c>
      <c r="F335" s="44">
        <f t="shared" si="25"/>
        <v>625.30822176639685</v>
      </c>
    </row>
    <row r="336" spans="1:6" ht="13.8" thickBot="1" x14ac:dyDescent="0.3">
      <c r="A336" s="169"/>
      <c r="B336" s="45">
        <v>2</v>
      </c>
      <c r="C336" s="43">
        <f t="shared" si="27"/>
        <v>250748.59692832516</v>
      </c>
      <c r="D336" s="43">
        <f t="shared" si="26"/>
        <v>30089.831631399018</v>
      </c>
      <c r="E336" s="44">
        <f t="shared" si="24"/>
        <v>2507.4859692832515</v>
      </c>
      <c r="F336" s="44">
        <f t="shared" si="25"/>
        <v>626.87149232081288</v>
      </c>
    </row>
    <row r="337" spans="1:6" ht="13.8" thickBot="1" x14ac:dyDescent="0.3">
      <c r="A337" s="169"/>
      <c r="B337" s="45">
        <v>3</v>
      </c>
      <c r="C337" s="43">
        <f t="shared" si="27"/>
        <v>251375.46842064598</v>
      </c>
      <c r="D337" s="43">
        <f t="shared" si="26"/>
        <v>30165.056210477516</v>
      </c>
      <c r="E337" s="44">
        <f t="shared" si="24"/>
        <v>2513.7546842064598</v>
      </c>
      <c r="F337" s="44">
        <f t="shared" si="25"/>
        <v>628.43867105161496</v>
      </c>
    </row>
    <row r="338" spans="1:6" ht="13.8" thickBot="1" x14ac:dyDescent="0.3">
      <c r="A338" s="173"/>
      <c r="B338" s="45">
        <v>4</v>
      </c>
      <c r="C338" s="43">
        <f t="shared" si="27"/>
        <v>252003.90709169759</v>
      </c>
      <c r="D338" s="43">
        <f t="shared" si="26"/>
        <v>30240.468851003709</v>
      </c>
      <c r="E338" s="44">
        <f t="shared" si="24"/>
        <v>2520.0390709169756</v>
      </c>
      <c r="F338" s="44">
        <f t="shared" si="25"/>
        <v>630.00976772924389</v>
      </c>
    </row>
    <row r="339" spans="1:6" ht="13.8" thickBot="1" x14ac:dyDescent="0.3">
      <c r="A339" s="172" t="s">
        <v>126</v>
      </c>
      <c r="B339" s="45">
        <v>1</v>
      </c>
      <c r="C339" s="43">
        <f t="shared" si="27"/>
        <v>252633.91685942683</v>
      </c>
      <c r="D339" s="43">
        <f t="shared" si="26"/>
        <v>30316.070023131218</v>
      </c>
      <c r="E339" s="44">
        <f t="shared" si="24"/>
        <v>2526.3391685942684</v>
      </c>
      <c r="F339" s="44">
        <f t="shared" si="25"/>
        <v>631.58479214856709</v>
      </c>
    </row>
    <row r="340" spans="1:6" ht="13.8" thickBot="1" x14ac:dyDescent="0.3">
      <c r="A340" s="169"/>
      <c r="B340" s="45">
        <v>2</v>
      </c>
      <c r="C340" s="43">
        <f t="shared" si="27"/>
        <v>253265.50165157538</v>
      </c>
      <c r="D340" s="43">
        <f t="shared" si="26"/>
        <v>30391.860198189046</v>
      </c>
      <c r="E340" s="44">
        <f t="shared" si="24"/>
        <v>2532.6550165157537</v>
      </c>
      <c r="F340" s="44">
        <f t="shared" si="25"/>
        <v>633.16375412893842</v>
      </c>
    </row>
    <row r="341" spans="1:6" ht="13.8" thickBot="1" x14ac:dyDescent="0.3">
      <c r="A341" s="169"/>
      <c r="B341" s="45">
        <v>3</v>
      </c>
      <c r="C341" s="43">
        <f t="shared" si="27"/>
        <v>253898.66540570432</v>
      </c>
      <c r="D341" s="43">
        <f t="shared" si="26"/>
        <v>30467.839848684518</v>
      </c>
      <c r="E341" s="44">
        <f t="shared" si="24"/>
        <v>2538.9866540570433</v>
      </c>
      <c r="F341" s="44">
        <f t="shared" si="25"/>
        <v>634.74666351426083</v>
      </c>
    </row>
    <row r="342" spans="1:6" ht="13.8" thickBot="1" x14ac:dyDescent="0.3">
      <c r="A342" s="173"/>
      <c r="B342" s="45">
        <v>4</v>
      </c>
      <c r="C342" s="43">
        <f t="shared" si="27"/>
        <v>254533.41206921858</v>
      </c>
      <c r="D342" s="43">
        <f t="shared" si="26"/>
        <v>30544.009448306228</v>
      </c>
      <c r="E342" s="44">
        <f t="shared" si="24"/>
        <v>2545.3341206921855</v>
      </c>
      <c r="F342" s="44">
        <f t="shared" si="25"/>
        <v>636.33353017304637</v>
      </c>
    </row>
    <row r="343" spans="1:6" ht="13.8" thickBot="1" x14ac:dyDescent="0.3">
      <c r="A343" s="172" t="s">
        <v>127</v>
      </c>
      <c r="B343" s="45">
        <v>1</v>
      </c>
      <c r="C343" s="43">
        <f t="shared" si="27"/>
        <v>255169.74559939164</v>
      </c>
      <c r="D343" s="43">
        <f t="shared" si="26"/>
        <v>30620.369471926995</v>
      </c>
      <c r="E343" s="44">
        <f t="shared" si="24"/>
        <v>2551.6974559939163</v>
      </c>
      <c r="F343" s="44">
        <f t="shared" si="25"/>
        <v>637.92436399847907</v>
      </c>
    </row>
    <row r="344" spans="1:6" ht="13.8" thickBot="1" x14ac:dyDescent="0.3">
      <c r="A344" s="169"/>
      <c r="B344" s="45">
        <v>2</v>
      </c>
      <c r="C344" s="43">
        <f t="shared" si="27"/>
        <v>255807.66996339013</v>
      </c>
      <c r="D344" s="43">
        <f t="shared" si="26"/>
        <v>30696.920395606816</v>
      </c>
      <c r="E344" s="44">
        <f t="shared" si="24"/>
        <v>2558.0766996339012</v>
      </c>
      <c r="F344" s="44">
        <f t="shared" si="25"/>
        <v>639.51917490847529</v>
      </c>
    </row>
    <row r="345" spans="1:6" ht="13.8" thickBot="1" x14ac:dyDescent="0.3">
      <c r="A345" s="169"/>
      <c r="B345" s="45">
        <v>3</v>
      </c>
      <c r="C345" s="43">
        <f t="shared" si="27"/>
        <v>256447.18913829859</v>
      </c>
      <c r="D345" s="43">
        <f t="shared" si="26"/>
        <v>30773.662696595831</v>
      </c>
      <c r="E345" s="44">
        <f t="shared" si="24"/>
        <v>2564.4718913829861</v>
      </c>
      <c r="F345" s="44">
        <f t="shared" si="25"/>
        <v>641.11797284574652</v>
      </c>
    </row>
    <row r="346" spans="1:6" ht="13.8" thickBot="1" x14ac:dyDescent="0.3">
      <c r="A346" s="173"/>
      <c r="B346" s="45">
        <v>4</v>
      </c>
      <c r="C346" s="43">
        <f t="shared" si="27"/>
        <v>257088.30711114433</v>
      </c>
      <c r="D346" s="43">
        <f t="shared" si="26"/>
        <v>30850.59685333732</v>
      </c>
      <c r="E346" s="44">
        <f t="shared" si="24"/>
        <v>2570.8830711114433</v>
      </c>
      <c r="F346" s="44">
        <f t="shared" si="25"/>
        <v>642.72076777786083</v>
      </c>
    </row>
    <row r="347" spans="1:6" ht="13.8" thickBot="1" x14ac:dyDescent="0.3">
      <c r="A347" s="172" t="s">
        <v>128</v>
      </c>
      <c r="B347" s="45">
        <v>1</v>
      </c>
      <c r="C347" s="43">
        <f t="shared" si="27"/>
        <v>257731.02787892218</v>
      </c>
      <c r="D347" s="43">
        <f t="shared" si="26"/>
        <v>30927.723345470658</v>
      </c>
      <c r="E347" s="44">
        <f t="shared" si="24"/>
        <v>2577.3102787892217</v>
      </c>
      <c r="F347" s="44">
        <f t="shared" si="25"/>
        <v>644.32756969730542</v>
      </c>
    </row>
    <row r="348" spans="1:6" ht="13.8" thickBot="1" x14ac:dyDescent="0.3">
      <c r="A348" s="169"/>
      <c r="B348" s="45">
        <v>2</v>
      </c>
      <c r="C348" s="43">
        <f t="shared" si="27"/>
        <v>258375.35544861949</v>
      </c>
      <c r="D348" s="43">
        <f t="shared" si="26"/>
        <v>31005.042653834338</v>
      </c>
      <c r="E348" s="44">
        <f t="shared" si="24"/>
        <v>2583.7535544861948</v>
      </c>
      <c r="F348" s="44">
        <f t="shared" si="25"/>
        <v>645.93838862154871</v>
      </c>
    </row>
    <row r="349" spans="1:6" ht="13.8" thickBot="1" x14ac:dyDescent="0.3">
      <c r="A349" s="169"/>
      <c r="B349" s="45">
        <v>3</v>
      </c>
      <c r="C349" s="43">
        <f t="shared" si="27"/>
        <v>259021.29383724104</v>
      </c>
      <c r="D349" s="43">
        <f t="shared" si="26"/>
        <v>31082.555260468926</v>
      </c>
      <c r="E349" s="44">
        <f t="shared" si="24"/>
        <v>2590.2129383724105</v>
      </c>
      <c r="F349" s="44">
        <f t="shared" si="25"/>
        <v>647.55323459310262</v>
      </c>
    </row>
    <row r="350" spans="1:6" ht="13.8" thickBot="1" x14ac:dyDescent="0.3">
      <c r="A350" s="173"/>
      <c r="B350" s="45">
        <v>4</v>
      </c>
      <c r="C350" s="43">
        <f t="shared" si="27"/>
        <v>259668.84707183414</v>
      </c>
      <c r="D350" s="43">
        <f t="shared" si="26"/>
        <v>31160.261648620097</v>
      </c>
      <c r="E350" s="44">
        <f t="shared" si="24"/>
        <v>2596.6884707183413</v>
      </c>
      <c r="F350" s="44">
        <f t="shared" si="25"/>
        <v>649.17211767958531</v>
      </c>
    </row>
    <row r="351" spans="1:6" ht="13.8" thickBot="1" x14ac:dyDescent="0.3">
      <c r="A351" s="172" t="s">
        <v>129</v>
      </c>
      <c r="B351" s="45">
        <v>1</v>
      </c>
      <c r="C351" s="43">
        <f t="shared" si="27"/>
        <v>260318.01918951372</v>
      </c>
      <c r="D351" s="43">
        <f t="shared" si="26"/>
        <v>31238.162302741646</v>
      </c>
      <c r="E351" s="44">
        <f t="shared" si="24"/>
        <v>2603.1801918951373</v>
      </c>
      <c r="F351" s="44">
        <f t="shared" si="25"/>
        <v>650.79504797378434</v>
      </c>
    </row>
    <row r="352" spans="1:6" ht="13.8" thickBot="1" x14ac:dyDescent="0.3">
      <c r="A352" s="169"/>
      <c r="B352" s="45">
        <v>2</v>
      </c>
      <c r="C352" s="43">
        <f t="shared" si="27"/>
        <v>260968.8142374875</v>
      </c>
      <c r="D352" s="43">
        <f t="shared" si="26"/>
        <v>31316.257708498499</v>
      </c>
      <c r="E352" s="44">
        <f t="shared" si="24"/>
        <v>2609.688142374875</v>
      </c>
      <c r="F352" s="44">
        <f t="shared" si="25"/>
        <v>652.42203559371876</v>
      </c>
    </row>
    <row r="353" spans="1:6" ht="13.8" thickBot="1" x14ac:dyDescent="0.3">
      <c r="A353" s="169"/>
      <c r="B353" s="45">
        <v>3</v>
      </c>
      <c r="C353" s="43">
        <f t="shared" si="27"/>
        <v>261621.23627308122</v>
      </c>
      <c r="D353" s="43">
        <f t="shared" si="26"/>
        <v>31394.548352769743</v>
      </c>
      <c r="E353" s="44">
        <f t="shared" si="24"/>
        <v>2616.2123627308119</v>
      </c>
      <c r="F353" s="44">
        <f t="shared" si="25"/>
        <v>654.05309068270299</v>
      </c>
    </row>
    <row r="354" spans="1:6" x14ac:dyDescent="0.25">
      <c r="A354" s="173"/>
      <c r="B354" s="45">
        <v>4</v>
      </c>
      <c r="C354" s="43">
        <f t="shared" si="27"/>
        <v>262275.28936376394</v>
      </c>
      <c r="D354" s="43">
        <f t="shared" si="26"/>
        <v>31473.034723651672</v>
      </c>
      <c r="E354" s="44">
        <f t="shared" si="24"/>
        <v>2622.7528936376393</v>
      </c>
      <c r="F354" s="44">
        <f t="shared" si="25"/>
        <v>655.68822340940983</v>
      </c>
    </row>
    <row r="355" spans="1:6" ht="13.8" thickBot="1" x14ac:dyDescent="0.3">
      <c r="A355" s="175" t="s">
        <v>130</v>
      </c>
      <c r="B355" s="47">
        <v>1</v>
      </c>
      <c r="C355" s="43">
        <f t="shared" si="27"/>
        <v>262930.97758717334</v>
      </c>
      <c r="D355" s="43">
        <f t="shared" si="26"/>
        <v>31551.717310460801</v>
      </c>
      <c r="E355" s="44">
        <f t="shared" si="24"/>
        <v>2629.3097758717336</v>
      </c>
      <c r="F355" s="44">
        <f t="shared" si="25"/>
        <v>657.32744396793339</v>
      </c>
    </row>
    <row r="356" spans="1:6" ht="13.8" thickBot="1" x14ac:dyDescent="0.3">
      <c r="A356" s="169"/>
      <c r="B356" s="45">
        <v>2</v>
      </c>
      <c r="C356" s="43">
        <f t="shared" si="27"/>
        <v>263588.30503114127</v>
      </c>
      <c r="D356" s="43">
        <f t="shared" si="26"/>
        <v>31630.596603736951</v>
      </c>
      <c r="E356" s="44">
        <f t="shared" si="24"/>
        <v>2635.8830503114127</v>
      </c>
      <c r="F356" s="44">
        <f t="shared" si="25"/>
        <v>658.97076257785318</v>
      </c>
    </row>
    <row r="357" spans="1:6" ht="13.8" thickBot="1" x14ac:dyDescent="0.3">
      <c r="A357" s="169"/>
      <c r="B357" s="45">
        <v>3</v>
      </c>
      <c r="C357" s="43">
        <f t="shared" si="27"/>
        <v>264247.27579371911</v>
      </c>
      <c r="D357" s="43">
        <f t="shared" si="26"/>
        <v>31709.673095246293</v>
      </c>
      <c r="E357" s="44">
        <f t="shared" si="24"/>
        <v>2642.4727579371911</v>
      </c>
      <c r="F357" s="44">
        <f t="shared" si="25"/>
        <v>660.61818948429777</v>
      </c>
    </row>
    <row r="358" spans="1:6" ht="13.8" thickBot="1" x14ac:dyDescent="0.3">
      <c r="A358" s="173"/>
      <c r="B358" s="45">
        <v>4</v>
      </c>
      <c r="C358" s="43">
        <f t="shared" si="27"/>
        <v>264907.89398320339</v>
      </c>
      <c r="D358" s="43">
        <f t="shared" si="26"/>
        <v>31788.947277984407</v>
      </c>
      <c r="E358" s="44">
        <f t="shared" si="24"/>
        <v>2649.0789398320339</v>
      </c>
      <c r="F358" s="44">
        <f t="shared" si="25"/>
        <v>662.26973495800848</v>
      </c>
    </row>
    <row r="359" spans="1:6" ht="13.8" thickBot="1" x14ac:dyDescent="0.3">
      <c r="A359" s="172" t="s">
        <v>131</v>
      </c>
      <c r="B359" s="45">
        <v>1</v>
      </c>
      <c r="C359" s="43">
        <f t="shared" si="27"/>
        <v>265570.16371816141</v>
      </c>
      <c r="D359" s="43">
        <f t="shared" si="26"/>
        <v>31868.419646179369</v>
      </c>
      <c r="E359" s="44">
        <f t="shared" si="24"/>
        <v>2655.7016371816139</v>
      </c>
      <c r="F359" s="44">
        <f t="shared" si="25"/>
        <v>663.92540929540348</v>
      </c>
    </row>
    <row r="360" spans="1:6" ht="13.8" thickBot="1" x14ac:dyDescent="0.3">
      <c r="A360" s="169"/>
      <c r="B360" s="45">
        <v>2</v>
      </c>
      <c r="C360" s="43">
        <f t="shared" si="27"/>
        <v>266234.08912745683</v>
      </c>
      <c r="D360" s="43">
        <f t="shared" si="26"/>
        <v>31948.090695294817</v>
      </c>
      <c r="E360" s="44">
        <f t="shared" si="24"/>
        <v>2662.3408912745681</v>
      </c>
      <c r="F360" s="44">
        <f t="shared" si="25"/>
        <v>665.58522281864202</v>
      </c>
    </row>
    <row r="361" spans="1:6" ht="13.8" thickBot="1" x14ac:dyDescent="0.3">
      <c r="A361" s="169"/>
      <c r="B361" s="45">
        <v>3</v>
      </c>
      <c r="C361" s="43">
        <f t="shared" si="27"/>
        <v>266899.67435027548</v>
      </c>
      <c r="D361" s="43">
        <f t="shared" si="26"/>
        <v>32027.960922033057</v>
      </c>
      <c r="E361" s="44">
        <f t="shared" si="24"/>
        <v>2668.9967435027547</v>
      </c>
      <c r="F361" s="44">
        <f t="shared" si="25"/>
        <v>667.24918587568868</v>
      </c>
    </row>
    <row r="362" spans="1:6" ht="13.8" thickBot="1" x14ac:dyDescent="0.3">
      <c r="A362" s="173"/>
      <c r="B362" s="45">
        <v>4</v>
      </c>
      <c r="C362" s="43">
        <f t="shared" si="27"/>
        <v>267566.92353615118</v>
      </c>
      <c r="D362" s="43">
        <f t="shared" si="26"/>
        <v>32108.030824338141</v>
      </c>
      <c r="E362" s="44">
        <f t="shared" si="24"/>
        <v>2675.6692353615117</v>
      </c>
      <c r="F362" s="44">
        <f t="shared" si="25"/>
        <v>668.91730884037793</v>
      </c>
    </row>
    <row r="363" spans="1:6" ht="13.8" thickBot="1" x14ac:dyDescent="0.3">
      <c r="A363" s="172" t="s">
        <v>132</v>
      </c>
      <c r="B363" s="45">
        <v>1</v>
      </c>
      <c r="C363" s="43">
        <f t="shared" si="27"/>
        <v>268235.84084499156</v>
      </c>
      <c r="D363" s="43">
        <f t="shared" si="26"/>
        <v>32188.300901398987</v>
      </c>
      <c r="E363" s="44">
        <f t="shared" si="24"/>
        <v>2682.3584084499157</v>
      </c>
      <c r="F363" s="44">
        <f t="shared" si="25"/>
        <v>670.58960211247893</v>
      </c>
    </row>
    <row r="364" spans="1:6" ht="13.8" thickBot="1" x14ac:dyDescent="0.3">
      <c r="A364" s="169"/>
      <c r="B364" s="45">
        <v>2</v>
      </c>
      <c r="C364" s="43">
        <f t="shared" si="27"/>
        <v>268906.43044710404</v>
      </c>
      <c r="D364" s="43">
        <f t="shared" si="26"/>
        <v>32268.771653652482</v>
      </c>
      <c r="E364" s="44">
        <f t="shared" si="24"/>
        <v>2689.06430447104</v>
      </c>
      <c r="F364" s="44">
        <f t="shared" si="25"/>
        <v>672.26607611776001</v>
      </c>
    </row>
    <row r="365" spans="1:6" ht="13.8" thickBot="1" x14ac:dyDescent="0.3">
      <c r="A365" s="169"/>
      <c r="B365" s="45">
        <v>3</v>
      </c>
      <c r="C365" s="43">
        <f t="shared" si="27"/>
        <v>269578.69652322179</v>
      </c>
      <c r="D365" s="43">
        <f t="shared" si="26"/>
        <v>32349.443582786615</v>
      </c>
      <c r="E365" s="44">
        <f t="shared" si="24"/>
        <v>2695.7869652322179</v>
      </c>
      <c r="F365" s="44">
        <f t="shared" si="25"/>
        <v>673.94674130805447</v>
      </c>
    </row>
    <row r="366" spans="1:6" ht="13.8" thickBot="1" x14ac:dyDescent="0.3">
      <c r="A366" s="173"/>
      <c r="B366" s="45">
        <v>4</v>
      </c>
      <c r="C366" s="43">
        <f t="shared" si="27"/>
        <v>270252.64326452982</v>
      </c>
      <c r="D366" s="43">
        <f t="shared" si="26"/>
        <v>32430.317191743576</v>
      </c>
      <c r="E366" s="44">
        <f t="shared" si="24"/>
        <v>2702.526432645298</v>
      </c>
      <c r="F366" s="44">
        <f t="shared" si="25"/>
        <v>675.63160816132449</v>
      </c>
    </row>
    <row r="367" spans="1:6" ht="13.8" thickBot="1" x14ac:dyDescent="0.3">
      <c r="A367" s="172" t="s">
        <v>133</v>
      </c>
      <c r="B367" s="45">
        <v>1</v>
      </c>
      <c r="C367" s="43">
        <f t="shared" si="27"/>
        <v>270928.27487269114</v>
      </c>
      <c r="D367" s="43">
        <f t="shared" si="26"/>
        <v>32511.392984722934</v>
      </c>
      <c r="E367" s="44">
        <f t="shared" si="24"/>
        <v>2709.282748726911</v>
      </c>
      <c r="F367" s="44">
        <f t="shared" si="25"/>
        <v>677.32068718172775</v>
      </c>
    </row>
    <row r="368" spans="1:6" ht="13.8" thickBot="1" x14ac:dyDescent="0.3">
      <c r="A368" s="169"/>
      <c r="B368" s="45">
        <v>2</v>
      </c>
      <c r="C368" s="43">
        <f t="shared" si="27"/>
        <v>271605.59555987286</v>
      </c>
      <c r="D368" s="43">
        <f t="shared" si="26"/>
        <v>32592.671467184744</v>
      </c>
      <c r="E368" s="44">
        <f t="shared" si="24"/>
        <v>2716.0559555987288</v>
      </c>
      <c r="F368" s="44">
        <f t="shared" si="25"/>
        <v>679.0139888996822</v>
      </c>
    </row>
    <row r="369" spans="1:6" ht="13.8" thickBot="1" x14ac:dyDescent="0.3">
      <c r="A369" s="169"/>
      <c r="B369" s="45">
        <v>3</v>
      </c>
      <c r="C369" s="43">
        <f t="shared" si="27"/>
        <v>272284.60954877257</v>
      </c>
      <c r="D369" s="43">
        <f t="shared" si="26"/>
        <v>32674.153145852706</v>
      </c>
      <c r="E369" s="44">
        <f t="shared" si="24"/>
        <v>2722.8460954877255</v>
      </c>
      <c r="F369" s="44">
        <f t="shared" si="25"/>
        <v>680.71152387193138</v>
      </c>
    </row>
    <row r="370" spans="1:6" ht="13.8" thickBot="1" x14ac:dyDescent="0.3">
      <c r="A370" s="173"/>
      <c r="B370" s="45">
        <v>4</v>
      </c>
      <c r="C370" s="43">
        <f t="shared" si="27"/>
        <v>272965.3210726445</v>
      </c>
      <c r="D370" s="43">
        <f t="shared" si="26"/>
        <v>32755.838528717337</v>
      </c>
      <c r="E370" s="44">
        <f t="shared" si="24"/>
        <v>2729.6532107264447</v>
      </c>
      <c r="F370" s="44">
        <f t="shared" si="25"/>
        <v>682.41330268161119</v>
      </c>
    </row>
    <row r="371" spans="1:6" ht="13.8" thickBot="1" x14ac:dyDescent="0.3">
      <c r="A371" s="172" t="s">
        <v>134</v>
      </c>
      <c r="B371" s="45">
        <v>1</v>
      </c>
      <c r="C371" s="43">
        <f t="shared" si="27"/>
        <v>273647.73437532608</v>
      </c>
      <c r="D371" s="43">
        <f t="shared" si="26"/>
        <v>32837.728125039132</v>
      </c>
      <c r="E371" s="44">
        <f t="shared" si="24"/>
        <v>2736.4773437532608</v>
      </c>
      <c r="F371" s="44">
        <f t="shared" si="25"/>
        <v>684.1193359383152</v>
      </c>
    </row>
    <row r="372" spans="1:6" ht="13.8" thickBot="1" x14ac:dyDescent="0.3">
      <c r="A372" s="169"/>
      <c r="B372" s="45">
        <v>2</v>
      </c>
      <c r="C372" s="43">
        <f t="shared" si="27"/>
        <v>274331.85371126438</v>
      </c>
      <c r="D372" s="43">
        <f t="shared" si="26"/>
        <v>32919.822445351725</v>
      </c>
      <c r="E372" s="44">
        <f t="shared" si="24"/>
        <v>2743.3185371126438</v>
      </c>
      <c r="F372" s="44">
        <f t="shared" si="25"/>
        <v>685.82963427816094</v>
      </c>
    </row>
    <row r="373" spans="1:6" ht="13.8" thickBot="1" x14ac:dyDescent="0.3">
      <c r="A373" s="169"/>
      <c r="B373" s="45">
        <v>3</v>
      </c>
      <c r="C373" s="43">
        <f t="shared" si="27"/>
        <v>275017.68334554252</v>
      </c>
      <c r="D373" s="43">
        <f t="shared" si="26"/>
        <v>33002.122001465104</v>
      </c>
      <c r="E373" s="44">
        <f t="shared" si="24"/>
        <v>2750.1768334554254</v>
      </c>
      <c r="F373" s="44">
        <f t="shared" si="25"/>
        <v>687.54420836385634</v>
      </c>
    </row>
    <row r="374" spans="1:6" ht="13.8" thickBot="1" x14ac:dyDescent="0.3">
      <c r="A374" s="173"/>
      <c r="B374" s="45">
        <v>4</v>
      </c>
      <c r="C374" s="43">
        <f t="shared" si="27"/>
        <v>275705.22755390638</v>
      </c>
      <c r="D374" s="43">
        <f t="shared" si="26"/>
        <v>33084.627306468763</v>
      </c>
      <c r="E374" s="44">
        <f t="shared" si="24"/>
        <v>2757.0522755390634</v>
      </c>
      <c r="F374" s="44">
        <f t="shared" si="25"/>
        <v>689.26306888476586</v>
      </c>
    </row>
    <row r="375" spans="1:6" ht="13.8" thickBot="1" x14ac:dyDescent="0.3">
      <c r="A375" s="172" t="s">
        <v>135</v>
      </c>
      <c r="B375" s="45">
        <v>1</v>
      </c>
      <c r="C375" s="43">
        <f t="shared" si="27"/>
        <v>276394.49062279117</v>
      </c>
      <c r="D375" s="43">
        <f t="shared" si="26"/>
        <v>33167.338874734938</v>
      </c>
      <c r="E375" s="44">
        <f t="shared" si="24"/>
        <v>2763.9449062279114</v>
      </c>
      <c r="F375" s="44">
        <f t="shared" si="25"/>
        <v>690.98622655697784</v>
      </c>
    </row>
    <row r="376" spans="1:6" ht="13.8" thickBot="1" x14ac:dyDescent="0.3">
      <c r="A376" s="169"/>
      <c r="B376" s="45">
        <v>2</v>
      </c>
      <c r="C376" s="43">
        <f t="shared" si="27"/>
        <v>277085.47684934817</v>
      </c>
      <c r="D376" s="43">
        <f t="shared" si="26"/>
        <v>33250.257221921776</v>
      </c>
      <c r="E376" s="44">
        <f t="shared" si="24"/>
        <v>2770.8547684934815</v>
      </c>
      <c r="F376" s="44">
        <f t="shared" si="25"/>
        <v>692.71369212337038</v>
      </c>
    </row>
    <row r="377" spans="1:6" ht="13.8" thickBot="1" x14ac:dyDescent="0.3">
      <c r="A377" s="169"/>
      <c r="B377" s="45">
        <v>3</v>
      </c>
      <c r="C377" s="43">
        <f t="shared" si="27"/>
        <v>277778.19054147153</v>
      </c>
      <c r="D377" s="43">
        <f t="shared" si="26"/>
        <v>33333.382864976586</v>
      </c>
      <c r="E377" s="44">
        <f t="shared" si="24"/>
        <v>2777.7819054147153</v>
      </c>
      <c r="F377" s="44">
        <f t="shared" si="25"/>
        <v>694.44547635367883</v>
      </c>
    </row>
    <row r="378" spans="1:6" ht="13.8" thickBot="1" x14ac:dyDescent="0.3">
      <c r="A378" s="173"/>
      <c r="B378" s="45">
        <v>4</v>
      </c>
      <c r="C378" s="43">
        <f t="shared" si="27"/>
        <v>278472.63601782522</v>
      </c>
      <c r="D378" s="43">
        <f t="shared" si="26"/>
        <v>33416.716322139022</v>
      </c>
      <c r="E378" s="44">
        <f t="shared" si="24"/>
        <v>2784.726360178252</v>
      </c>
      <c r="F378" s="44">
        <f t="shared" si="25"/>
        <v>696.18159004456299</v>
      </c>
    </row>
    <row r="379" spans="1:6" ht="13.8" thickBot="1" x14ac:dyDescent="0.3">
      <c r="A379" s="172" t="s">
        <v>136</v>
      </c>
      <c r="B379" s="45">
        <v>1</v>
      </c>
      <c r="C379" s="43">
        <f t="shared" si="27"/>
        <v>279168.8176078698</v>
      </c>
      <c r="D379" s="43">
        <f t="shared" si="26"/>
        <v>33500.258112944372</v>
      </c>
      <c r="E379" s="44">
        <f t="shared" si="24"/>
        <v>2791.6881760786978</v>
      </c>
      <c r="F379" s="44">
        <f t="shared" si="25"/>
        <v>697.92204401967444</v>
      </c>
    </row>
    <row r="380" spans="1:6" ht="13.8" thickBot="1" x14ac:dyDescent="0.3">
      <c r="A380" s="169"/>
      <c r="B380" s="45">
        <v>2</v>
      </c>
      <c r="C380" s="43">
        <f t="shared" si="27"/>
        <v>279866.73965188948</v>
      </c>
      <c r="D380" s="43">
        <f t="shared" si="26"/>
        <v>33584.008758226737</v>
      </c>
      <c r="E380" s="44">
        <f t="shared" si="24"/>
        <v>2798.6673965188947</v>
      </c>
      <c r="F380" s="44">
        <f t="shared" si="25"/>
        <v>699.66684912972369</v>
      </c>
    </row>
    <row r="381" spans="1:6" ht="13.8" thickBot="1" x14ac:dyDescent="0.3">
      <c r="A381" s="169"/>
      <c r="B381" s="45">
        <v>3</v>
      </c>
      <c r="C381" s="43">
        <f t="shared" si="27"/>
        <v>280566.4065010192</v>
      </c>
      <c r="D381" s="43">
        <f t="shared" si="26"/>
        <v>33667.968780122304</v>
      </c>
      <c r="E381" s="44">
        <f t="shared" si="24"/>
        <v>2805.6640650101922</v>
      </c>
      <c r="F381" s="44">
        <f t="shared" si="25"/>
        <v>701.41601625254805</v>
      </c>
    </row>
    <row r="382" spans="1:6" ht="13.8" thickBot="1" x14ac:dyDescent="0.3">
      <c r="A382" s="173"/>
      <c r="B382" s="45">
        <v>4</v>
      </c>
      <c r="C382" s="43">
        <f t="shared" si="27"/>
        <v>281267.82251727174</v>
      </c>
      <c r="D382" s="43">
        <f t="shared" si="26"/>
        <v>33752.138702072611</v>
      </c>
      <c r="E382" s="44">
        <f t="shared" si="24"/>
        <v>2812.6782251727177</v>
      </c>
      <c r="F382" s="44">
        <f t="shared" si="25"/>
        <v>703.16955629317943</v>
      </c>
    </row>
    <row r="383" spans="1:6" ht="13.8" thickBot="1" x14ac:dyDescent="0.3">
      <c r="A383" s="172" t="s">
        <v>137</v>
      </c>
      <c r="B383" s="45">
        <v>1</v>
      </c>
      <c r="C383" s="43">
        <f t="shared" si="27"/>
        <v>281970.99207356491</v>
      </c>
      <c r="D383" s="43">
        <f t="shared" si="26"/>
        <v>33836.519048827788</v>
      </c>
      <c r="E383" s="44">
        <f t="shared" si="24"/>
        <v>2819.7099207356491</v>
      </c>
      <c r="F383" s="44">
        <f t="shared" si="25"/>
        <v>704.92748018391228</v>
      </c>
    </row>
    <row r="384" spans="1:6" ht="13.8" thickBot="1" x14ac:dyDescent="0.3">
      <c r="A384" s="169"/>
      <c r="B384" s="45">
        <v>2</v>
      </c>
      <c r="C384" s="43">
        <f t="shared" si="27"/>
        <v>282675.9195537488</v>
      </c>
      <c r="D384" s="43">
        <f t="shared" si="26"/>
        <v>33921.110346449852</v>
      </c>
      <c r="E384" s="44">
        <f t="shared" si="24"/>
        <v>2826.7591955374878</v>
      </c>
      <c r="F384" s="44">
        <f t="shared" si="25"/>
        <v>706.68979888437195</v>
      </c>
    </row>
    <row r="385" spans="1:6" ht="13.8" thickBot="1" x14ac:dyDescent="0.3">
      <c r="A385" s="169"/>
      <c r="B385" s="45">
        <v>3</v>
      </c>
      <c r="C385" s="43">
        <f t="shared" si="27"/>
        <v>283382.60935263318</v>
      </c>
      <c r="D385" s="43">
        <f t="shared" si="26"/>
        <v>34005.913122315978</v>
      </c>
      <c r="E385" s="44">
        <f t="shared" si="24"/>
        <v>2833.8260935263315</v>
      </c>
      <c r="F385" s="44">
        <f t="shared" si="25"/>
        <v>708.45652338158288</v>
      </c>
    </row>
    <row r="386" spans="1:6" ht="13.8" thickBot="1" x14ac:dyDescent="0.3">
      <c r="A386" s="173"/>
      <c r="B386" s="45">
        <v>4</v>
      </c>
      <c r="C386" s="43">
        <f t="shared" si="27"/>
        <v>284091.06587601476</v>
      </c>
      <c r="D386" s="43">
        <f t="shared" si="26"/>
        <v>34090.927905121767</v>
      </c>
      <c r="E386" s="44">
        <f t="shared" si="24"/>
        <v>2840.9106587601473</v>
      </c>
      <c r="F386" s="44">
        <f t="shared" si="25"/>
        <v>710.22766469003682</v>
      </c>
    </row>
    <row r="387" spans="1:6" ht="13.8" thickBot="1" x14ac:dyDescent="0.3">
      <c r="A387" s="172" t="s">
        <v>138</v>
      </c>
      <c r="B387" s="45">
        <v>1</v>
      </c>
      <c r="C387" s="43">
        <f t="shared" si="27"/>
        <v>284801.29354070482</v>
      </c>
      <c r="D387" s="43">
        <f t="shared" si="26"/>
        <v>34176.155224884576</v>
      </c>
      <c r="E387" s="44">
        <f t="shared" si="24"/>
        <v>2848.0129354070482</v>
      </c>
      <c r="F387" s="44">
        <f t="shared" si="25"/>
        <v>712.00323385176205</v>
      </c>
    </row>
    <row r="388" spans="1:6" ht="13.8" thickBot="1" x14ac:dyDescent="0.3">
      <c r="A388" s="169"/>
      <c r="B388" s="45">
        <v>2</v>
      </c>
      <c r="C388" s="43">
        <f t="shared" si="27"/>
        <v>285513.29677455657</v>
      </c>
      <c r="D388" s="43">
        <f t="shared" si="26"/>
        <v>34261.595612946789</v>
      </c>
      <c r="E388" s="44">
        <f t="shared" si="24"/>
        <v>2855.1329677455656</v>
      </c>
      <c r="F388" s="44">
        <f t="shared" si="25"/>
        <v>713.78324193639139</v>
      </c>
    </row>
    <row r="389" spans="1:6" ht="13.8" thickBot="1" x14ac:dyDescent="0.3">
      <c r="A389" s="169"/>
      <c r="B389" s="45">
        <v>3</v>
      </c>
      <c r="C389" s="43">
        <f t="shared" si="27"/>
        <v>286227.08001649298</v>
      </c>
      <c r="D389" s="43">
        <f t="shared" si="26"/>
        <v>34347.249601979158</v>
      </c>
      <c r="E389" s="44">
        <f t="shared" si="24"/>
        <v>2862.2708001649298</v>
      </c>
      <c r="F389" s="44">
        <f t="shared" si="25"/>
        <v>715.56770004123246</v>
      </c>
    </row>
    <row r="390" spans="1:6" ht="13.8" thickBot="1" x14ac:dyDescent="0.3">
      <c r="A390" s="173"/>
      <c r="B390" s="45">
        <v>4</v>
      </c>
      <c r="C390" s="43">
        <f t="shared" si="27"/>
        <v>286942.64771653421</v>
      </c>
      <c r="D390" s="43">
        <f t="shared" si="26"/>
        <v>34433.117725984106</v>
      </c>
      <c r="E390" s="44">
        <f t="shared" ref="E390:E453" si="28">D390/12</f>
        <v>2869.426477165342</v>
      </c>
      <c r="F390" s="44">
        <f t="shared" ref="F390:F453" si="29">E390/4</f>
        <v>717.35661929133551</v>
      </c>
    </row>
    <row r="391" spans="1:6" ht="13.8" thickBot="1" x14ac:dyDescent="0.3">
      <c r="A391" s="172" t="s">
        <v>139</v>
      </c>
      <c r="B391" s="45">
        <v>1</v>
      </c>
      <c r="C391" s="43">
        <f t="shared" si="27"/>
        <v>287660.00433582556</v>
      </c>
      <c r="D391" s="43">
        <f t="shared" ref="D391:D454" si="30">C391*$F$2</f>
        <v>34519.200520299069</v>
      </c>
      <c r="E391" s="44">
        <f t="shared" si="28"/>
        <v>2876.6000433582558</v>
      </c>
      <c r="F391" s="44">
        <f t="shared" si="29"/>
        <v>719.15001083956395</v>
      </c>
    </row>
    <row r="392" spans="1:6" ht="13.8" thickBot="1" x14ac:dyDescent="0.3">
      <c r="A392" s="169"/>
      <c r="B392" s="45">
        <v>2</v>
      </c>
      <c r="C392" s="43">
        <f t="shared" si="27"/>
        <v>288379.15434666513</v>
      </c>
      <c r="D392" s="43">
        <f t="shared" si="30"/>
        <v>34605.498521599817</v>
      </c>
      <c r="E392" s="44">
        <f t="shared" si="28"/>
        <v>2883.7915434666515</v>
      </c>
      <c r="F392" s="44">
        <f t="shared" si="29"/>
        <v>720.94788586666289</v>
      </c>
    </row>
    <row r="393" spans="1:6" ht="13.8" thickBot="1" x14ac:dyDescent="0.3">
      <c r="A393" s="169"/>
      <c r="B393" s="45">
        <v>3</v>
      </c>
      <c r="C393" s="43">
        <f t="shared" si="27"/>
        <v>289100.10223253182</v>
      </c>
      <c r="D393" s="43">
        <f t="shared" si="30"/>
        <v>34692.012267903818</v>
      </c>
      <c r="E393" s="44">
        <f t="shared" si="28"/>
        <v>2891.001022325318</v>
      </c>
      <c r="F393" s="44">
        <f t="shared" si="29"/>
        <v>722.7502555813295</v>
      </c>
    </row>
    <row r="394" spans="1:6" ht="13.8" thickBot="1" x14ac:dyDescent="0.3">
      <c r="A394" s="173"/>
      <c r="B394" s="45">
        <v>4</v>
      </c>
      <c r="C394" s="43">
        <f t="shared" si="27"/>
        <v>289822.85248811316</v>
      </c>
      <c r="D394" s="43">
        <f t="shared" si="30"/>
        <v>34778.742298573576</v>
      </c>
      <c r="E394" s="44">
        <f t="shared" si="28"/>
        <v>2898.2285248811313</v>
      </c>
      <c r="F394" s="44">
        <f t="shared" si="29"/>
        <v>724.55713122028283</v>
      </c>
    </row>
    <row r="395" spans="1:6" ht="13.8" thickBot="1" x14ac:dyDescent="0.3">
      <c r="A395" s="172" t="s">
        <v>140</v>
      </c>
      <c r="B395" s="45">
        <v>1</v>
      </c>
      <c r="C395" s="43">
        <f t="shared" ref="C395:C458" si="31">IF(B395=1,C394+F394+$B$3,C394+F394)</f>
        <v>290547.40961933346</v>
      </c>
      <c r="D395" s="43">
        <f t="shared" si="30"/>
        <v>34865.689154320011</v>
      </c>
      <c r="E395" s="44">
        <f t="shared" si="28"/>
        <v>2905.4740961933344</v>
      </c>
      <c r="F395" s="44">
        <f t="shared" si="29"/>
        <v>726.3685240483336</v>
      </c>
    </row>
    <row r="396" spans="1:6" ht="13.8" thickBot="1" x14ac:dyDescent="0.3">
      <c r="A396" s="169"/>
      <c r="B396" s="45">
        <v>2</v>
      </c>
      <c r="C396" s="43">
        <f t="shared" si="31"/>
        <v>291273.77814338182</v>
      </c>
      <c r="D396" s="43">
        <f t="shared" si="30"/>
        <v>34952.853377205814</v>
      </c>
      <c r="E396" s="44">
        <f t="shared" si="28"/>
        <v>2912.7377814338179</v>
      </c>
      <c r="F396" s="44">
        <f t="shared" si="29"/>
        <v>728.18444535845447</v>
      </c>
    </row>
    <row r="397" spans="1:6" ht="13.8" thickBot="1" x14ac:dyDescent="0.3">
      <c r="A397" s="169"/>
      <c r="B397" s="45">
        <v>3</v>
      </c>
      <c r="C397" s="43">
        <f t="shared" si="31"/>
        <v>292001.96258874028</v>
      </c>
      <c r="D397" s="43">
        <f t="shared" si="30"/>
        <v>35040.235510648832</v>
      </c>
      <c r="E397" s="44">
        <f t="shared" si="28"/>
        <v>2920.0196258874025</v>
      </c>
      <c r="F397" s="44">
        <f t="shared" si="29"/>
        <v>730.00490647185063</v>
      </c>
    </row>
    <row r="398" spans="1:6" ht="13.8" thickBot="1" x14ac:dyDescent="0.3">
      <c r="A398" s="173"/>
      <c r="B398" s="45">
        <v>4</v>
      </c>
      <c r="C398" s="43">
        <f t="shared" si="31"/>
        <v>292731.96749521216</v>
      </c>
      <c r="D398" s="43">
        <f t="shared" si="30"/>
        <v>35127.836099425454</v>
      </c>
      <c r="E398" s="44">
        <f t="shared" si="28"/>
        <v>2927.3196749521212</v>
      </c>
      <c r="F398" s="44">
        <f t="shared" si="29"/>
        <v>731.8299187380303</v>
      </c>
    </row>
    <row r="399" spans="1:6" ht="13.8" thickBot="1" x14ac:dyDescent="0.3">
      <c r="A399" s="172" t="s">
        <v>141</v>
      </c>
      <c r="B399" s="45">
        <v>1</v>
      </c>
      <c r="C399" s="43">
        <f t="shared" si="31"/>
        <v>293463.7974139502</v>
      </c>
      <c r="D399" s="43">
        <f t="shared" si="30"/>
        <v>35215.655689674022</v>
      </c>
      <c r="E399" s="44">
        <f t="shared" si="28"/>
        <v>2934.6379741395017</v>
      </c>
      <c r="F399" s="44">
        <f t="shared" si="29"/>
        <v>733.65949353487542</v>
      </c>
    </row>
    <row r="400" spans="1:6" ht="13.8" thickBot="1" x14ac:dyDescent="0.3">
      <c r="A400" s="169"/>
      <c r="B400" s="45">
        <v>2</v>
      </c>
      <c r="C400" s="43">
        <f t="shared" si="31"/>
        <v>294197.45690748509</v>
      </c>
      <c r="D400" s="43">
        <f t="shared" si="30"/>
        <v>35303.694828898209</v>
      </c>
      <c r="E400" s="44">
        <f t="shared" si="28"/>
        <v>2941.9745690748509</v>
      </c>
      <c r="F400" s="44">
        <f t="shared" si="29"/>
        <v>735.49364226871273</v>
      </c>
    </row>
    <row r="401" spans="1:6" ht="13.8" thickBot="1" x14ac:dyDescent="0.3">
      <c r="A401" s="169"/>
      <c r="B401" s="45">
        <v>3</v>
      </c>
      <c r="C401" s="43">
        <f t="shared" si="31"/>
        <v>294932.95054975379</v>
      </c>
      <c r="D401" s="43">
        <f t="shared" si="30"/>
        <v>35391.954065970451</v>
      </c>
      <c r="E401" s="44">
        <f t="shared" si="28"/>
        <v>2949.3295054975374</v>
      </c>
      <c r="F401" s="44">
        <f t="shared" si="29"/>
        <v>737.33237637438435</v>
      </c>
    </row>
    <row r="402" spans="1:6" x14ac:dyDescent="0.25">
      <c r="A402" s="173"/>
      <c r="B402" s="45">
        <v>4</v>
      </c>
      <c r="C402" s="43">
        <f t="shared" si="31"/>
        <v>295670.28292612819</v>
      </c>
      <c r="D402" s="43">
        <f t="shared" si="30"/>
        <v>35480.433951135383</v>
      </c>
      <c r="E402" s="44">
        <f t="shared" si="28"/>
        <v>2956.7028292612817</v>
      </c>
      <c r="F402" s="44">
        <f t="shared" si="29"/>
        <v>739.17570731532044</v>
      </c>
    </row>
    <row r="403" spans="1:6" ht="13.8" thickBot="1" x14ac:dyDescent="0.3">
      <c r="A403" s="175" t="s">
        <v>142</v>
      </c>
      <c r="B403" s="47">
        <v>1</v>
      </c>
      <c r="C403" s="43">
        <f t="shared" si="31"/>
        <v>296409.45863344352</v>
      </c>
      <c r="D403" s="43">
        <f t="shared" si="30"/>
        <v>35569.13503601322</v>
      </c>
      <c r="E403" s="44">
        <f t="shared" si="28"/>
        <v>2964.094586334435</v>
      </c>
      <c r="F403" s="44">
        <f t="shared" si="29"/>
        <v>741.02364658360875</v>
      </c>
    </row>
    <row r="404" spans="1:6" ht="13.8" thickBot="1" x14ac:dyDescent="0.3">
      <c r="A404" s="169"/>
      <c r="B404" s="45">
        <v>2</v>
      </c>
      <c r="C404" s="43">
        <f t="shared" si="31"/>
        <v>297150.48228002712</v>
      </c>
      <c r="D404" s="43">
        <f t="shared" si="30"/>
        <v>35658.057873603255</v>
      </c>
      <c r="E404" s="44">
        <f t="shared" si="28"/>
        <v>2971.5048228002711</v>
      </c>
      <c r="F404" s="44">
        <f t="shared" si="29"/>
        <v>742.87620570006777</v>
      </c>
    </row>
    <row r="405" spans="1:6" ht="13.8" thickBot="1" x14ac:dyDescent="0.3">
      <c r="A405" s="169"/>
      <c r="B405" s="45">
        <v>3</v>
      </c>
      <c r="C405" s="43">
        <f t="shared" si="31"/>
        <v>297893.35848572716</v>
      </c>
      <c r="D405" s="43">
        <f t="shared" si="30"/>
        <v>35747.203018287255</v>
      </c>
      <c r="E405" s="44">
        <f t="shared" si="28"/>
        <v>2978.9335848572714</v>
      </c>
      <c r="F405" s="44">
        <f t="shared" si="29"/>
        <v>744.73339621431785</v>
      </c>
    </row>
    <row r="406" spans="1:6" ht="13.8" thickBot="1" x14ac:dyDescent="0.3">
      <c r="A406" s="173"/>
      <c r="B406" s="45">
        <v>4</v>
      </c>
      <c r="C406" s="43">
        <f t="shared" si="31"/>
        <v>298638.09188194148</v>
      </c>
      <c r="D406" s="43">
        <f t="shared" si="30"/>
        <v>35836.571025832978</v>
      </c>
      <c r="E406" s="44">
        <f t="shared" si="28"/>
        <v>2986.380918819415</v>
      </c>
      <c r="F406" s="44">
        <f t="shared" si="29"/>
        <v>746.59522970485375</v>
      </c>
    </row>
    <row r="407" spans="1:6" ht="13.8" thickBot="1" x14ac:dyDescent="0.3">
      <c r="A407" s="172" t="s">
        <v>143</v>
      </c>
      <c r="B407" s="45">
        <v>1</v>
      </c>
      <c r="C407" s="43">
        <f t="shared" si="31"/>
        <v>299384.68711164634</v>
      </c>
      <c r="D407" s="43">
        <f t="shared" si="30"/>
        <v>35926.162453397563</v>
      </c>
      <c r="E407" s="44">
        <f t="shared" si="28"/>
        <v>2993.8468711164637</v>
      </c>
      <c r="F407" s="44">
        <f t="shared" si="29"/>
        <v>748.46171777911593</v>
      </c>
    </row>
    <row r="408" spans="1:6" ht="13.8" thickBot="1" x14ac:dyDescent="0.3">
      <c r="A408" s="169"/>
      <c r="B408" s="45">
        <v>2</v>
      </c>
      <c r="C408" s="43">
        <f t="shared" si="31"/>
        <v>300133.14882942545</v>
      </c>
      <c r="D408" s="43">
        <f t="shared" si="30"/>
        <v>36015.977859531056</v>
      </c>
      <c r="E408" s="44">
        <f t="shared" si="28"/>
        <v>3001.3314882942545</v>
      </c>
      <c r="F408" s="44">
        <f t="shared" si="29"/>
        <v>750.33287207356364</v>
      </c>
    </row>
    <row r="409" spans="1:6" ht="13.8" thickBot="1" x14ac:dyDescent="0.3">
      <c r="A409" s="169"/>
      <c r="B409" s="45">
        <v>3</v>
      </c>
      <c r="C409" s="43">
        <f t="shared" si="31"/>
        <v>300883.48170149903</v>
      </c>
      <c r="D409" s="43">
        <f t="shared" si="30"/>
        <v>36106.017804179879</v>
      </c>
      <c r="E409" s="44">
        <f t="shared" si="28"/>
        <v>3008.8348170149898</v>
      </c>
      <c r="F409" s="44">
        <f t="shared" si="29"/>
        <v>752.20870425374744</v>
      </c>
    </row>
    <row r="410" spans="1:6" ht="13.8" thickBot="1" x14ac:dyDescent="0.3">
      <c r="A410" s="173"/>
      <c r="B410" s="45">
        <v>4</v>
      </c>
      <c r="C410" s="43">
        <f t="shared" si="31"/>
        <v>301635.6904057528</v>
      </c>
      <c r="D410" s="43">
        <f t="shared" si="30"/>
        <v>36196.282848690338</v>
      </c>
      <c r="E410" s="44">
        <f t="shared" si="28"/>
        <v>3016.356904057528</v>
      </c>
      <c r="F410" s="44">
        <f t="shared" si="29"/>
        <v>754.08922601438201</v>
      </c>
    </row>
    <row r="411" spans="1:6" ht="13.8" thickBot="1" x14ac:dyDescent="0.3">
      <c r="A411" s="172" t="s">
        <v>144</v>
      </c>
      <c r="B411" s="45">
        <v>1</v>
      </c>
      <c r="C411" s="43">
        <f t="shared" si="31"/>
        <v>302389.77963176719</v>
      </c>
      <c r="D411" s="43">
        <f t="shared" si="30"/>
        <v>36286.773555812062</v>
      </c>
      <c r="E411" s="44">
        <f t="shared" si="28"/>
        <v>3023.8977963176717</v>
      </c>
      <c r="F411" s="44">
        <f t="shared" si="29"/>
        <v>755.97444907941792</v>
      </c>
    </row>
    <row r="412" spans="1:6" ht="13.8" thickBot="1" x14ac:dyDescent="0.3">
      <c r="A412" s="169"/>
      <c r="B412" s="45">
        <v>2</v>
      </c>
      <c r="C412" s="43">
        <f t="shared" si="31"/>
        <v>303145.75408084661</v>
      </c>
      <c r="D412" s="43">
        <f t="shared" si="30"/>
        <v>36377.490489701595</v>
      </c>
      <c r="E412" s="44">
        <f t="shared" si="28"/>
        <v>3031.4575408084661</v>
      </c>
      <c r="F412" s="44">
        <f t="shared" si="29"/>
        <v>757.86438520211652</v>
      </c>
    </row>
    <row r="413" spans="1:6" ht="13.8" thickBot="1" x14ac:dyDescent="0.3">
      <c r="A413" s="169"/>
      <c r="B413" s="45">
        <v>3</v>
      </c>
      <c r="C413" s="43">
        <f t="shared" si="31"/>
        <v>303903.61846604873</v>
      </c>
      <c r="D413" s="43">
        <f t="shared" si="30"/>
        <v>36468.434215925845</v>
      </c>
      <c r="E413" s="44">
        <f t="shared" si="28"/>
        <v>3039.0361846604869</v>
      </c>
      <c r="F413" s="44">
        <f t="shared" si="29"/>
        <v>759.75904616512173</v>
      </c>
    </row>
    <row r="414" spans="1:6" ht="13.8" thickBot="1" x14ac:dyDescent="0.3">
      <c r="A414" s="173"/>
      <c r="B414" s="45">
        <v>4</v>
      </c>
      <c r="C414" s="43">
        <f t="shared" si="31"/>
        <v>304663.37751221383</v>
      </c>
      <c r="D414" s="43">
        <f t="shared" si="30"/>
        <v>36559.605301465657</v>
      </c>
      <c r="E414" s="44">
        <f t="shared" si="28"/>
        <v>3046.6337751221381</v>
      </c>
      <c r="F414" s="44">
        <f t="shared" si="29"/>
        <v>761.65844378053453</v>
      </c>
    </row>
    <row r="415" spans="1:6" ht="13.8" thickBot="1" x14ac:dyDescent="0.3">
      <c r="A415" s="172" t="s">
        <v>145</v>
      </c>
      <c r="B415" s="45">
        <v>1</v>
      </c>
      <c r="C415" s="43">
        <f t="shared" si="31"/>
        <v>305425.03595599439</v>
      </c>
      <c r="D415" s="43">
        <f t="shared" si="30"/>
        <v>36651.004314719328</v>
      </c>
      <c r="E415" s="44">
        <f t="shared" si="28"/>
        <v>3054.2503595599442</v>
      </c>
      <c r="F415" s="44">
        <f t="shared" si="29"/>
        <v>763.56258988998604</v>
      </c>
    </row>
    <row r="416" spans="1:6" ht="13.8" thickBot="1" x14ac:dyDescent="0.3">
      <c r="A416" s="169"/>
      <c r="B416" s="45">
        <v>2</v>
      </c>
      <c r="C416" s="43">
        <f t="shared" si="31"/>
        <v>306188.59854588436</v>
      </c>
      <c r="D416" s="43">
        <f t="shared" si="30"/>
        <v>36742.63182550612</v>
      </c>
      <c r="E416" s="44">
        <f t="shared" si="28"/>
        <v>3061.8859854588432</v>
      </c>
      <c r="F416" s="44">
        <f t="shared" si="29"/>
        <v>765.47149636471079</v>
      </c>
    </row>
    <row r="417" spans="1:6" ht="13.8" thickBot="1" x14ac:dyDescent="0.3">
      <c r="A417" s="169"/>
      <c r="B417" s="45">
        <v>3</v>
      </c>
      <c r="C417" s="43">
        <f t="shared" si="31"/>
        <v>306954.07004224905</v>
      </c>
      <c r="D417" s="43">
        <f t="shared" si="30"/>
        <v>36834.488405069882</v>
      </c>
      <c r="E417" s="44">
        <f t="shared" si="28"/>
        <v>3069.5407004224903</v>
      </c>
      <c r="F417" s="44">
        <f t="shared" si="29"/>
        <v>767.38517510562258</v>
      </c>
    </row>
    <row r="418" spans="1:6" ht="13.8" thickBot="1" x14ac:dyDescent="0.3">
      <c r="A418" s="173"/>
      <c r="B418" s="45">
        <v>4</v>
      </c>
      <c r="C418" s="43">
        <f t="shared" si="31"/>
        <v>307721.4552173547</v>
      </c>
      <c r="D418" s="43">
        <f t="shared" si="30"/>
        <v>36926.574626082562</v>
      </c>
      <c r="E418" s="44">
        <f t="shared" si="28"/>
        <v>3077.214552173547</v>
      </c>
      <c r="F418" s="44">
        <f t="shared" si="29"/>
        <v>769.30363804338674</v>
      </c>
    </row>
    <row r="419" spans="1:6" ht="13.8" thickBot="1" x14ac:dyDescent="0.3">
      <c r="A419" s="172" t="s">
        <v>146</v>
      </c>
      <c r="B419" s="45">
        <v>1</v>
      </c>
      <c r="C419" s="43">
        <f t="shared" si="31"/>
        <v>308490.7588553981</v>
      </c>
      <c r="D419" s="43">
        <f t="shared" si="30"/>
        <v>37018.891062647774</v>
      </c>
      <c r="E419" s="44">
        <f t="shared" si="28"/>
        <v>3084.907588553981</v>
      </c>
      <c r="F419" s="44">
        <f t="shared" si="29"/>
        <v>771.22689713849525</v>
      </c>
    </row>
    <row r="420" spans="1:6" ht="13.8" thickBot="1" x14ac:dyDescent="0.3">
      <c r="A420" s="169"/>
      <c r="B420" s="45">
        <v>2</v>
      </c>
      <c r="C420" s="43">
        <f t="shared" si="31"/>
        <v>309261.98575253662</v>
      </c>
      <c r="D420" s="43">
        <f t="shared" si="30"/>
        <v>37111.438290304395</v>
      </c>
      <c r="E420" s="44">
        <f t="shared" si="28"/>
        <v>3092.6198575253661</v>
      </c>
      <c r="F420" s="44">
        <f t="shared" si="29"/>
        <v>773.15496438134153</v>
      </c>
    </row>
    <row r="421" spans="1:6" ht="13.8" thickBot="1" x14ac:dyDescent="0.3">
      <c r="A421" s="169"/>
      <c r="B421" s="45">
        <v>3</v>
      </c>
      <c r="C421" s="43">
        <f t="shared" si="31"/>
        <v>310035.14071691799</v>
      </c>
      <c r="D421" s="43">
        <f t="shared" si="30"/>
        <v>37204.216886030154</v>
      </c>
      <c r="E421" s="44">
        <f t="shared" si="28"/>
        <v>3100.3514071691793</v>
      </c>
      <c r="F421" s="44">
        <f t="shared" si="29"/>
        <v>775.08785179229483</v>
      </c>
    </row>
    <row r="422" spans="1:6" ht="13.8" thickBot="1" x14ac:dyDescent="0.3">
      <c r="A422" s="173"/>
      <c r="B422" s="45">
        <v>4</v>
      </c>
      <c r="C422" s="43">
        <f t="shared" si="31"/>
        <v>310810.22856871027</v>
      </c>
      <c r="D422" s="43">
        <f t="shared" si="30"/>
        <v>37297.227428245234</v>
      </c>
      <c r="E422" s="44">
        <f t="shared" si="28"/>
        <v>3108.1022856871027</v>
      </c>
      <c r="F422" s="44">
        <f t="shared" si="29"/>
        <v>777.02557142177568</v>
      </c>
    </row>
    <row r="423" spans="1:6" ht="13.8" thickBot="1" x14ac:dyDescent="0.3">
      <c r="A423" s="172" t="s">
        <v>147</v>
      </c>
      <c r="B423" s="45">
        <v>1</v>
      </c>
      <c r="C423" s="43">
        <f t="shared" si="31"/>
        <v>311587.25414013205</v>
      </c>
      <c r="D423" s="43">
        <f t="shared" si="30"/>
        <v>37390.470496815848</v>
      </c>
      <c r="E423" s="44">
        <f t="shared" si="28"/>
        <v>3115.8725414013206</v>
      </c>
      <c r="F423" s="44">
        <f t="shared" si="29"/>
        <v>778.96813535033016</v>
      </c>
    </row>
    <row r="424" spans="1:6" ht="13.8" thickBot="1" x14ac:dyDescent="0.3">
      <c r="A424" s="169"/>
      <c r="B424" s="45">
        <v>2</v>
      </c>
      <c r="C424" s="43">
        <f t="shared" si="31"/>
        <v>312366.22227548237</v>
      </c>
      <c r="D424" s="43">
        <f t="shared" si="30"/>
        <v>37483.946673057886</v>
      </c>
      <c r="E424" s="44">
        <f t="shared" si="28"/>
        <v>3123.6622227548237</v>
      </c>
      <c r="F424" s="44">
        <f t="shared" si="29"/>
        <v>780.91555568870592</v>
      </c>
    </row>
    <row r="425" spans="1:6" ht="13.8" thickBot="1" x14ac:dyDescent="0.3">
      <c r="A425" s="169"/>
      <c r="B425" s="45">
        <v>3</v>
      </c>
      <c r="C425" s="43">
        <f t="shared" si="31"/>
        <v>313147.1378311711</v>
      </c>
      <c r="D425" s="43">
        <f t="shared" si="30"/>
        <v>37577.656539740528</v>
      </c>
      <c r="E425" s="44">
        <f t="shared" si="28"/>
        <v>3131.4713783117109</v>
      </c>
      <c r="F425" s="44">
        <f t="shared" si="29"/>
        <v>782.86784457792771</v>
      </c>
    </row>
    <row r="426" spans="1:6" ht="13.8" thickBot="1" x14ac:dyDescent="0.3">
      <c r="A426" s="173"/>
      <c r="B426" s="45">
        <v>4</v>
      </c>
      <c r="C426" s="43">
        <f t="shared" si="31"/>
        <v>313930.00567574904</v>
      </c>
      <c r="D426" s="43">
        <f t="shared" si="30"/>
        <v>37671.600681089883</v>
      </c>
      <c r="E426" s="44">
        <f t="shared" si="28"/>
        <v>3139.3000567574904</v>
      </c>
      <c r="F426" s="44">
        <f t="shared" si="29"/>
        <v>784.82501418937261</v>
      </c>
    </row>
    <row r="427" spans="1:6" ht="13.8" thickBot="1" x14ac:dyDescent="0.3">
      <c r="A427" s="172" t="s">
        <v>148</v>
      </c>
      <c r="B427" s="45">
        <v>1</v>
      </c>
      <c r="C427" s="43">
        <f t="shared" si="31"/>
        <v>314714.83068993839</v>
      </c>
      <c r="D427" s="43">
        <f t="shared" si="30"/>
        <v>37765.779682792607</v>
      </c>
      <c r="E427" s="44">
        <f t="shared" si="28"/>
        <v>3147.1483068993839</v>
      </c>
      <c r="F427" s="44">
        <f t="shared" si="29"/>
        <v>786.78707672484597</v>
      </c>
    </row>
    <row r="428" spans="1:6" ht="13.8" thickBot="1" x14ac:dyDescent="0.3">
      <c r="A428" s="169"/>
      <c r="B428" s="45">
        <v>2</v>
      </c>
      <c r="C428" s="43">
        <f t="shared" si="31"/>
        <v>315501.61776666326</v>
      </c>
      <c r="D428" s="43">
        <f t="shared" si="30"/>
        <v>37860.194131999589</v>
      </c>
      <c r="E428" s="44">
        <f t="shared" si="28"/>
        <v>3155.0161776666323</v>
      </c>
      <c r="F428" s="44">
        <f t="shared" si="29"/>
        <v>788.75404441665808</v>
      </c>
    </row>
    <row r="429" spans="1:6" ht="13.8" thickBot="1" x14ac:dyDescent="0.3">
      <c r="A429" s="169"/>
      <c r="B429" s="45">
        <v>3</v>
      </c>
      <c r="C429" s="43">
        <f t="shared" si="31"/>
        <v>316290.37181107991</v>
      </c>
      <c r="D429" s="43">
        <f t="shared" si="30"/>
        <v>37954.844617329589</v>
      </c>
      <c r="E429" s="44">
        <f t="shared" si="28"/>
        <v>3162.9037181107992</v>
      </c>
      <c r="F429" s="44">
        <f t="shared" si="29"/>
        <v>790.7259295276998</v>
      </c>
    </row>
    <row r="430" spans="1:6" ht="13.8" thickBot="1" x14ac:dyDescent="0.3">
      <c r="A430" s="173"/>
      <c r="B430" s="45">
        <v>4</v>
      </c>
      <c r="C430" s="43">
        <f t="shared" si="31"/>
        <v>317081.09774060763</v>
      </c>
      <c r="D430" s="43">
        <f t="shared" si="30"/>
        <v>38049.731728872917</v>
      </c>
      <c r="E430" s="44">
        <f t="shared" si="28"/>
        <v>3170.8109774060763</v>
      </c>
      <c r="F430" s="44">
        <f t="shared" si="29"/>
        <v>792.70274435151907</v>
      </c>
    </row>
    <row r="431" spans="1:6" ht="13.8" thickBot="1" x14ac:dyDescent="0.3">
      <c r="A431" s="172" t="s">
        <v>149</v>
      </c>
      <c r="B431" s="45">
        <v>1</v>
      </c>
      <c r="C431" s="43">
        <f t="shared" si="31"/>
        <v>317873.80048495915</v>
      </c>
      <c r="D431" s="43">
        <f t="shared" si="30"/>
        <v>38144.856058195095</v>
      </c>
      <c r="E431" s="44">
        <f t="shared" si="28"/>
        <v>3178.7380048495911</v>
      </c>
      <c r="F431" s="44">
        <f t="shared" si="29"/>
        <v>794.68450121239778</v>
      </c>
    </row>
    <row r="432" spans="1:6" ht="13.8" thickBot="1" x14ac:dyDescent="0.3">
      <c r="A432" s="169"/>
      <c r="B432" s="45">
        <v>2</v>
      </c>
      <c r="C432" s="43">
        <f t="shared" si="31"/>
        <v>318668.48498617153</v>
      </c>
      <c r="D432" s="43">
        <f t="shared" si="30"/>
        <v>38240.218198340583</v>
      </c>
      <c r="E432" s="44">
        <f t="shared" si="28"/>
        <v>3186.6848498617151</v>
      </c>
      <c r="F432" s="44">
        <f t="shared" si="29"/>
        <v>796.67121246542877</v>
      </c>
    </row>
    <row r="433" spans="1:6" ht="13.8" thickBot="1" x14ac:dyDescent="0.3">
      <c r="A433" s="169"/>
      <c r="B433" s="45">
        <v>3</v>
      </c>
      <c r="C433" s="43">
        <f t="shared" si="31"/>
        <v>319465.15619863698</v>
      </c>
      <c r="D433" s="43">
        <f t="shared" si="30"/>
        <v>38335.818743836433</v>
      </c>
      <c r="E433" s="44">
        <f t="shared" si="28"/>
        <v>3194.6515619863694</v>
      </c>
      <c r="F433" s="44">
        <f t="shared" si="29"/>
        <v>798.66289049659235</v>
      </c>
    </row>
    <row r="434" spans="1:6" ht="13.8" thickBot="1" x14ac:dyDescent="0.3">
      <c r="A434" s="173"/>
      <c r="B434" s="45">
        <v>4</v>
      </c>
      <c r="C434" s="43">
        <f t="shared" si="31"/>
        <v>320263.81908913358</v>
      </c>
      <c r="D434" s="43">
        <f t="shared" si="30"/>
        <v>38431.658290696032</v>
      </c>
      <c r="E434" s="44">
        <f t="shared" si="28"/>
        <v>3202.6381908913359</v>
      </c>
      <c r="F434" s="44">
        <f t="shared" si="29"/>
        <v>800.65954772283396</v>
      </c>
    </row>
    <row r="435" spans="1:6" ht="13.8" thickBot="1" x14ac:dyDescent="0.3">
      <c r="A435" s="172" t="s">
        <v>150</v>
      </c>
      <c r="B435" s="45">
        <v>1</v>
      </c>
      <c r="C435" s="43">
        <f t="shared" si="31"/>
        <v>321064.47863685642</v>
      </c>
      <c r="D435" s="43">
        <f t="shared" si="30"/>
        <v>38527.737436422773</v>
      </c>
      <c r="E435" s="44">
        <f t="shared" si="28"/>
        <v>3210.6447863685644</v>
      </c>
      <c r="F435" s="44">
        <f t="shared" si="29"/>
        <v>802.6611965921411</v>
      </c>
    </row>
    <row r="436" spans="1:6" ht="13.8" thickBot="1" x14ac:dyDescent="0.3">
      <c r="A436" s="169"/>
      <c r="B436" s="45">
        <v>2</v>
      </c>
      <c r="C436" s="43">
        <f t="shared" si="31"/>
        <v>321867.13983344857</v>
      </c>
      <c r="D436" s="43">
        <f t="shared" si="30"/>
        <v>38624.056780013831</v>
      </c>
      <c r="E436" s="44">
        <f t="shared" si="28"/>
        <v>3218.6713983344857</v>
      </c>
      <c r="F436" s="44">
        <f t="shared" si="29"/>
        <v>804.66784958362143</v>
      </c>
    </row>
    <row r="437" spans="1:6" ht="13.8" thickBot="1" x14ac:dyDescent="0.3">
      <c r="A437" s="169"/>
      <c r="B437" s="45">
        <v>3</v>
      </c>
      <c r="C437" s="43">
        <f t="shared" si="31"/>
        <v>322671.80768303218</v>
      </c>
      <c r="D437" s="43">
        <f t="shared" si="30"/>
        <v>38720.616921963861</v>
      </c>
      <c r="E437" s="44">
        <f t="shared" si="28"/>
        <v>3226.7180768303219</v>
      </c>
      <c r="F437" s="44">
        <f t="shared" si="29"/>
        <v>806.67951920758048</v>
      </c>
    </row>
    <row r="438" spans="1:6" ht="13.8" thickBot="1" x14ac:dyDescent="0.3">
      <c r="A438" s="173"/>
      <c r="B438" s="45">
        <v>4</v>
      </c>
      <c r="C438" s="43">
        <f t="shared" si="31"/>
        <v>323478.48720223975</v>
      </c>
      <c r="D438" s="43">
        <f t="shared" si="30"/>
        <v>38817.418464268769</v>
      </c>
      <c r="E438" s="44">
        <f t="shared" si="28"/>
        <v>3234.7848720223974</v>
      </c>
      <c r="F438" s="44">
        <f t="shared" si="29"/>
        <v>808.69621800559935</v>
      </c>
    </row>
    <row r="439" spans="1:6" ht="13.8" thickBot="1" x14ac:dyDescent="0.3">
      <c r="A439" s="172" t="s">
        <v>151</v>
      </c>
      <c r="B439" s="45">
        <v>1</v>
      </c>
      <c r="C439" s="43">
        <f t="shared" si="31"/>
        <v>324287.18342024536</v>
      </c>
      <c r="D439" s="43">
        <f t="shared" si="30"/>
        <v>38914.462010429444</v>
      </c>
      <c r="E439" s="44">
        <f t="shared" si="28"/>
        <v>3242.8718342024536</v>
      </c>
      <c r="F439" s="44">
        <f t="shared" si="29"/>
        <v>810.71795855061339</v>
      </c>
    </row>
    <row r="440" spans="1:6" ht="13.8" thickBot="1" x14ac:dyDescent="0.3">
      <c r="A440" s="169"/>
      <c r="B440" s="45">
        <v>2</v>
      </c>
      <c r="C440" s="43">
        <f t="shared" si="31"/>
        <v>325097.90137879597</v>
      </c>
      <c r="D440" s="43">
        <f t="shared" si="30"/>
        <v>39011.748165455516</v>
      </c>
      <c r="E440" s="44">
        <f t="shared" si="28"/>
        <v>3250.9790137879595</v>
      </c>
      <c r="F440" s="44">
        <f t="shared" si="29"/>
        <v>812.74475344698988</v>
      </c>
    </row>
    <row r="441" spans="1:6" ht="13.8" thickBot="1" x14ac:dyDescent="0.3">
      <c r="A441" s="169"/>
      <c r="B441" s="45">
        <v>3</v>
      </c>
      <c r="C441" s="43">
        <f t="shared" si="31"/>
        <v>325910.64613224298</v>
      </c>
      <c r="D441" s="43">
        <f t="shared" si="30"/>
        <v>39109.277535869158</v>
      </c>
      <c r="E441" s="44">
        <f t="shared" si="28"/>
        <v>3259.1064613224298</v>
      </c>
      <c r="F441" s="44">
        <f t="shared" si="29"/>
        <v>814.77661533060746</v>
      </c>
    </row>
    <row r="442" spans="1:6" ht="13.8" thickBot="1" x14ac:dyDescent="0.3">
      <c r="A442" s="173"/>
      <c r="B442" s="45">
        <v>4</v>
      </c>
      <c r="C442" s="43">
        <f t="shared" si="31"/>
        <v>326725.42274757358</v>
      </c>
      <c r="D442" s="43">
        <f t="shared" si="30"/>
        <v>39207.050729708826</v>
      </c>
      <c r="E442" s="44">
        <f t="shared" si="28"/>
        <v>3267.2542274757357</v>
      </c>
      <c r="F442" s="44">
        <f t="shared" si="29"/>
        <v>816.81355686893392</v>
      </c>
    </row>
    <row r="443" spans="1:6" ht="13.8" thickBot="1" x14ac:dyDescent="0.3">
      <c r="A443" s="172" t="s">
        <v>152</v>
      </c>
      <c r="B443" s="45">
        <v>1</v>
      </c>
      <c r="C443" s="43">
        <f t="shared" si="31"/>
        <v>327542.23630444251</v>
      </c>
      <c r="D443" s="43">
        <f t="shared" si="30"/>
        <v>39305.068356533098</v>
      </c>
      <c r="E443" s="44">
        <f t="shared" si="28"/>
        <v>3275.4223630444249</v>
      </c>
      <c r="F443" s="44">
        <f t="shared" si="29"/>
        <v>818.85559076110621</v>
      </c>
    </row>
    <row r="444" spans="1:6" ht="13.8" thickBot="1" x14ac:dyDescent="0.3">
      <c r="A444" s="169"/>
      <c r="B444" s="45">
        <v>2</v>
      </c>
      <c r="C444" s="43">
        <f t="shared" si="31"/>
        <v>328361.09189520363</v>
      </c>
      <c r="D444" s="43">
        <f t="shared" si="30"/>
        <v>39403.331027424436</v>
      </c>
      <c r="E444" s="44">
        <f t="shared" si="28"/>
        <v>3283.6109189520362</v>
      </c>
      <c r="F444" s="44">
        <f t="shared" si="29"/>
        <v>820.90272973800904</v>
      </c>
    </row>
    <row r="445" spans="1:6" ht="13.8" thickBot="1" x14ac:dyDescent="0.3">
      <c r="A445" s="169"/>
      <c r="B445" s="45">
        <v>3</v>
      </c>
      <c r="C445" s="43">
        <f t="shared" si="31"/>
        <v>329181.99462494167</v>
      </c>
      <c r="D445" s="43">
        <f t="shared" si="30"/>
        <v>39501.839354992997</v>
      </c>
      <c r="E445" s="44">
        <f t="shared" si="28"/>
        <v>3291.8199462494163</v>
      </c>
      <c r="F445" s="44">
        <f t="shared" si="29"/>
        <v>822.95498656235407</v>
      </c>
    </row>
    <row r="446" spans="1:6" ht="13.8" thickBot="1" x14ac:dyDescent="0.3">
      <c r="A446" s="173"/>
      <c r="B446" s="45">
        <v>4</v>
      </c>
      <c r="C446" s="43">
        <f t="shared" si="31"/>
        <v>330004.94961150404</v>
      </c>
      <c r="D446" s="43">
        <f t="shared" si="30"/>
        <v>39600.593953380485</v>
      </c>
      <c r="E446" s="44">
        <f t="shared" si="28"/>
        <v>3300.0494961150403</v>
      </c>
      <c r="F446" s="44">
        <f t="shared" si="29"/>
        <v>825.01237402876006</v>
      </c>
    </row>
    <row r="447" spans="1:6" ht="13.8" thickBot="1" x14ac:dyDescent="0.3">
      <c r="A447" s="172" t="s">
        <v>153</v>
      </c>
      <c r="B447" s="45">
        <v>1</v>
      </c>
      <c r="C447" s="43">
        <f t="shared" si="31"/>
        <v>330829.96198553278</v>
      </c>
      <c r="D447" s="43">
        <f t="shared" si="30"/>
        <v>39699.595438263932</v>
      </c>
      <c r="E447" s="44">
        <f t="shared" si="28"/>
        <v>3308.2996198553278</v>
      </c>
      <c r="F447" s="44">
        <f t="shared" si="29"/>
        <v>827.07490496383195</v>
      </c>
    </row>
    <row r="448" spans="1:6" ht="13.8" thickBot="1" x14ac:dyDescent="0.3">
      <c r="A448" s="169"/>
      <c r="B448" s="45">
        <v>2</v>
      </c>
      <c r="C448" s="43">
        <f t="shared" si="31"/>
        <v>331657.03689049662</v>
      </c>
      <c r="D448" s="43">
        <f t="shared" si="30"/>
        <v>39798.844426859592</v>
      </c>
      <c r="E448" s="44">
        <f t="shared" si="28"/>
        <v>3316.570368904966</v>
      </c>
      <c r="F448" s="44">
        <f t="shared" si="29"/>
        <v>829.1425922262415</v>
      </c>
    </row>
    <row r="449" spans="1:6" ht="13.8" thickBot="1" x14ac:dyDescent="0.3">
      <c r="A449" s="169"/>
      <c r="B449" s="45">
        <v>3</v>
      </c>
      <c r="C449" s="43">
        <f t="shared" si="31"/>
        <v>332486.17948272283</v>
      </c>
      <c r="D449" s="43">
        <f t="shared" si="30"/>
        <v>39898.341537926739</v>
      </c>
      <c r="E449" s="44">
        <f t="shared" si="28"/>
        <v>3324.8617948272281</v>
      </c>
      <c r="F449" s="44">
        <f t="shared" si="29"/>
        <v>831.21544870680702</v>
      </c>
    </row>
    <row r="450" spans="1:6" x14ac:dyDescent="0.25">
      <c r="A450" s="173"/>
      <c r="B450" s="45">
        <v>4</v>
      </c>
      <c r="C450" s="43">
        <f t="shared" si="31"/>
        <v>333317.39493142965</v>
      </c>
      <c r="D450" s="43">
        <f t="shared" si="30"/>
        <v>39998.087391771558</v>
      </c>
      <c r="E450" s="44">
        <f t="shared" si="28"/>
        <v>3333.1739493142964</v>
      </c>
      <c r="F450" s="44">
        <f t="shared" si="29"/>
        <v>833.29348732857409</v>
      </c>
    </row>
    <row r="451" spans="1:6" ht="13.8" thickBot="1" x14ac:dyDescent="0.3">
      <c r="A451" s="175" t="s">
        <v>154</v>
      </c>
      <c r="B451" s="47">
        <v>1</v>
      </c>
      <c r="C451" s="43">
        <f t="shared" si="31"/>
        <v>334150.68841875822</v>
      </c>
      <c r="D451" s="43">
        <f t="shared" si="30"/>
        <v>40098.082610250982</v>
      </c>
      <c r="E451" s="44">
        <f t="shared" si="28"/>
        <v>3341.5068841875818</v>
      </c>
      <c r="F451" s="44">
        <f t="shared" si="29"/>
        <v>835.37672104689545</v>
      </c>
    </row>
    <row r="452" spans="1:6" ht="13.8" thickBot="1" x14ac:dyDescent="0.3">
      <c r="A452" s="169"/>
      <c r="B452" s="45">
        <v>2</v>
      </c>
      <c r="C452" s="43">
        <f t="shared" si="31"/>
        <v>334986.06513980514</v>
      </c>
      <c r="D452" s="43">
        <f t="shared" si="30"/>
        <v>40198.327816776618</v>
      </c>
      <c r="E452" s="44">
        <f t="shared" si="28"/>
        <v>3349.8606513980517</v>
      </c>
      <c r="F452" s="44">
        <f t="shared" si="29"/>
        <v>837.46516284951292</v>
      </c>
    </row>
    <row r="453" spans="1:6" ht="13.8" thickBot="1" x14ac:dyDescent="0.3">
      <c r="A453" s="169"/>
      <c r="B453" s="45">
        <v>3</v>
      </c>
      <c r="C453" s="43">
        <f t="shared" si="31"/>
        <v>335823.53030265466</v>
      </c>
      <c r="D453" s="43">
        <f t="shared" si="30"/>
        <v>40298.823636318557</v>
      </c>
      <c r="E453" s="44">
        <f t="shared" si="28"/>
        <v>3358.2353030265463</v>
      </c>
      <c r="F453" s="44">
        <f t="shared" si="29"/>
        <v>839.55882575663657</v>
      </c>
    </row>
    <row r="454" spans="1:6" ht="13.8" thickBot="1" x14ac:dyDescent="0.3">
      <c r="A454" s="173"/>
      <c r="B454" s="45">
        <v>4</v>
      </c>
      <c r="C454" s="43">
        <f t="shared" si="31"/>
        <v>336663.08912841132</v>
      </c>
      <c r="D454" s="43">
        <f t="shared" si="30"/>
        <v>40399.570695409355</v>
      </c>
      <c r="E454" s="44">
        <f t="shared" ref="E454:E517" si="32">D454/12</f>
        <v>3366.6308912841127</v>
      </c>
      <c r="F454" s="44">
        <f t="shared" ref="F454:F517" si="33">E454/4</f>
        <v>841.65772282102819</v>
      </c>
    </row>
    <row r="455" spans="1:6" ht="13.8" thickBot="1" x14ac:dyDescent="0.3">
      <c r="A455" s="172" t="s">
        <v>155</v>
      </c>
      <c r="B455" s="45">
        <v>1</v>
      </c>
      <c r="C455" s="43">
        <f t="shared" si="31"/>
        <v>337504.74685123237</v>
      </c>
      <c r="D455" s="43">
        <f t="shared" ref="D455:D518" si="34">C455*$F$2</f>
        <v>40500.569622147879</v>
      </c>
      <c r="E455" s="44">
        <f t="shared" si="32"/>
        <v>3375.0474685123231</v>
      </c>
      <c r="F455" s="44">
        <f t="shared" si="33"/>
        <v>843.76186712808078</v>
      </c>
    </row>
    <row r="456" spans="1:6" ht="13.8" thickBot="1" x14ac:dyDescent="0.3">
      <c r="A456" s="169"/>
      <c r="B456" s="45">
        <v>2</v>
      </c>
      <c r="C456" s="43">
        <f t="shared" si="31"/>
        <v>338348.50871836045</v>
      </c>
      <c r="D456" s="43">
        <f t="shared" si="34"/>
        <v>40601.821046203251</v>
      </c>
      <c r="E456" s="44">
        <f t="shared" si="32"/>
        <v>3383.4850871836043</v>
      </c>
      <c r="F456" s="44">
        <f t="shared" si="33"/>
        <v>845.87127179590107</v>
      </c>
    </row>
    <row r="457" spans="1:6" ht="13.8" thickBot="1" x14ac:dyDescent="0.3">
      <c r="A457" s="169"/>
      <c r="B457" s="45">
        <v>3</v>
      </c>
      <c r="C457" s="43">
        <f t="shared" si="31"/>
        <v>339194.37999015633</v>
      </c>
      <c r="D457" s="43">
        <f t="shared" si="34"/>
        <v>40703.325598818759</v>
      </c>
      <c r="E457" s="44">
        <f t="shared" si="32"/>
        <v>3391.9437999015631</v>
      </c>
      <c r="F457" s="44">
        <f t="shared" si="33"/>
        <v>847.98594997539078</v>
      </c>
    </row>
    <row r="458" spans="1:6" ht="13.8" thickBot="1" x14ac:dyDescent="0.3">
      <c r="A458" s="173"/>
      <c r="B458" s="45">
        <v>4</v>
      </c>
      <c r="C458" s="43">
        <f t="shared" si="31"/>
        <v>340042.36594013171</v>
      </c>
      <c r="D458" s="43">
        <f t="shared" si="34"/>
        <v>40805.083912815804</v>
      </c>
      <c r="E458" s="44">
        <f t="shared" si="32"/>
        <v>3400.4236594013169</v>
      </c>
      <c r="F458" s="44">
        <f t="shared" si="33"/>
        <v>850.10591485032921</v>
      </c>
    </row>
    <row r="459" spans="1:6" ht="13.8" thickBot="1" x14ac:dyDescent="0.3">
      <c r="A459" s="172" t="s">
        <v>156</v>
      </c>
      <c r="B459" s="45">
        <v>1</v>
      </c>
      <c r="C459" s="43">
        <f t="shared" ref="C459:C498" si="35">IF(B459=1,C458+F458+$B$3,C458+F458)</f>
        <v>340892.47185498202</v>
      </c>
      <c r="D459" s="43">
        <f t="shared" si="34"/>
        <v>40907.096622597841</v>
      </c>
      <c r="E459" s="44">
        <f t="shared" si="32"/>
        <v>3408.9247185498202</v>
      </c>
      <c r="F459" s="44">
        <f t="shared" si="33"/>
        <v>852.23117963745506</v>
      </c>
    </row>
    <row r="460" spans="1:6" ht="13.8" thickBot="1" x14ac:dyDescent="0.3">
      <c r="A460" s="169"/>
      <c r="B460" s="45">
        <v>2</v>
      </c>
      <c r="C460" s="43">
        <f t="shared" si="35"/>
        <v>341744.70303461945</v>
      </c>
      <c r="D460" s="43">
        <f t="shared" si="34"/>
        <v>41009.364364154331</v>
      </c>
      <c r="E460" s="44">
        <f t="shared" si="32"/>
        <v>3417.4470303461944</v>
      </c>
      <c r="F460" s="44">
        <f t="shared" si="33"/>
        <v>854.36175758654861</v>
      </c>
    </row>
    <row r="461" spans="1:6" ht="13.8" thickBot="1" x14ac:dyDescent="0.3">
      <c r="A461" s="169"/>
      <c r="B461" s="45">
        <v>3</v>
      </c>
      <c r="C461" s="43">
        <f t="shared" si="35"/>
        <v>342599.06479220599</v>
      </c>
      <c r="D461" s="43">
        <f t="shared" si="34"/>
        <v>41111.887775064715</v>
      </c>
      <c r="E461" s="44">
        <f t="shared" si="32"/>
        <v>3425.9906479220595</v>
      </c>
      <c r="F461" s="44">
        <f t="shared" si="33"/>
        <v>856.49766198051486</v>
      </c>
    </row>
    <row r="462" spans="1:6" ht="13.8" thickBot="1" x14ac:dyDescent="0.3">
      <c r="A462" s="173"/>
      <c r="B462" s="45">
        <v>4</v>
      </c>
      <c r="C462" s="43">
        <f t="shared" si="35"/>
        <v>343455.5624541865</v>
      </c>
      <c r="D462" s="43">
        <f t="shared" si="34"/>
        <v>41214.667494502377</v>
      </c>
      <c r="E462" s="44">
        <f t="shared" si="32"/>
        <v>3434.5556245418647</v>
      </c>
      <c r="F462" s="44">
        <f t="shared" si="33"/>
        <v>858.63890613546619</v>
      </c>
    </row>
    <row r="463" spans="1:6" ht="13.8" thickBot="1" x14ac:dyDescent="0.3">
      <c r="A463" s="172" t="s">
        <v>157</v>
      </c>
      <c r="B463" s="45">
        <v>1</v>
      </c>
      <c r="C463" s="43">
        <f t="shared" si="35"/>
        <v>344314.20136032195</v>
      </c>
      <c r="D463" s="43">
        <f t="shared" si="34"/>
        <v>41317.704163238632</v>
      </c>
      <c r="E463" s="44">
        <f t="shared" si="32"/>
        <v>3443.1420136032193</v>
      </c>
      <c r="F463" s="44">
        <f t="shared" si="33"/>
        <v>860.78550340080483</v>
      </c>
    </row>
    <row r="464" spans="1:6" ht="13.8" thickBot="1" x14ac:dyDescent="0.3">
      <c r="A464" s="169"/>
      <c r="B464" s="45">
        <v>2</v>
      </c>
      <c r="C464" s="43">
        <f t="shared" si="35"/>
        <v>345174.98686372273</v>
      </c>
      <c r="D464" s="43">
        <f t="shared" si="34"/>
        <v>41420.998423646728</v>
      </c>
      <c r="E464" s="44">
        <f t="shared" si="32"/>
        <v>3451.7498686372273</v>
      </c>
      <c r="F464" s="44">
        <f t="shared" si="33"/>
        <v>862.93746715930683</v>
      </c>
    </row>
    <row r="465" spans="1:6" ht="13.8" thickBot="1" x14ac:dyDescent="0.3">
      <c r="A465" s="169"/>
      <c r="B465" s="45">
        <v>3</v>
      </c>
      <c r="C465" s="43">
        <f t="shared" si="35"/>
        <v>346037.92433088203</v>
      </c>
      <c r="D465" s="43">
        <f t="shared" si="34"/>
        <v>41524.550919705842</v>
      </c>
      <c r="E465" s="44">
        <f t="shared" si="32"/>
        <v>3460.3792433088202</v>
      </c>
      <c r="F465" s="44">
        <f t="shared" si="33"/>
        <v>865.09481082720504</v>
      </c>
    </row>
    <row r="466" spans="1:6" ht="13.8" thickBot="1" x14ac:dyDescent="0.3">
      <c r="A466" s="173"/>
      <c r="B466" s="45">
        <v>4</v>
      </c>
      <c r="C466" s="43">
        <f t="shared" si="35"/>
        <v>346903.01914170926</v>
      </c>
      <c r="D466" s="43">
        <f t="shared" si="34"/>
        <v>41628.362297005107</v>
      </c>
      <c r="E466" s="44">
        <f t="shared" si="32"/>
        <v>3469.0301914170923</v>
      </c>
      <c r="F466" s="44">
        <f t="shared" si="33"/>
        <v>867.25754785427307</v>
      </c>
    </row>
    <row r="467" spans="1:6" ht="13.8" thickBot="1" x14ac:dyDescent="0.3">
      <c r="A467" s="172" t="s">
        <v>158</v>
      </c>
      <c r="B467" s="45">
        <v>1</v>
      </c>
      <c r="C467" s="43">
        <f t="shared" si="35"/>
        <v>347770.27668956353</v>
      </c>
      <c r="D467" s="43">
        <f t="shared" si="34"/>
        <v>41732.433202747619</v>
      </c>
      <c r="E467" s="44">
        <f t="shared" si="32"/>
        <v>3477.7027668956348</v>
      </c>
      <c r="F467" s="44">
        <f t="shared" si="33"/>
        <v>869.4256917239087</v>
      </c>
    </row>
    <row r="468" spans="1:6" ht="13.8" thickBot="1" x14ac:dyDescent="0.3">
      <c r="A468" s="169"/>
      <c r="B468" s="45">
        <v>2</v>
      </c>
      <c r="C468" s="43">
        <f t="shared" si="35"/>
        <v>348639.70238128741</v>
      </c>
      <c r="D468" s="43">
        <f t="shared" si="34"/>
        <v>41836.764285754485</v>
      </c>
      <c r="E468" s="44">
        <f t="shared" si="32"/>
        <v>3486.3970238128736</v>
      </c>
      <c r="F468" s="44">
        <f t="shared" si="33"/>
        <v>871.5992559532184</v>
      </c>
    </row>
    <row r="469" spans="1:6" ht="13.8" thickBot="1" x14ac:dyDescent="0.3">
      <c r="A469" s="169"/>
      <c r="B469" s="45">
        <v>3</v>
      </c>
      <c r="C469" s="43">
        <f t="shared" si="35"/>
        <v>349511.30163724063</v>
      </c>
      <c r="D469" s="43">
        <f t="shared" si="34"/>
        <v>41941.356196468871</v>
      </c>
      <c r="E469" s="44">
        <f t="shared" si="32"/>
        <v>3495.113016372406</v>
      </c>
      <c r="F469" s="44">
        <f t="shared" si="33"/>
        <v>873.77825409310151</v>
      </c>
    </row>
    <row r="470" spans="1:6" ht="13.8" thickBot="1" x14ac:dyDescent="0.3">
      <c r="A470" s="173"/>
      <c r="B470" s="45">
        <v>4</v>
      </c>
      <c r="C470" s="43">
        <f t="shared" si="35"/>
        <v>350385.07989133371</v>
      </c>
      <c r="D470" s="43">
        <f t="shared" si="34"/>
        <v>42046.209586960045</v>
      </c>
      <c r="E470" s="44">
        <f t="shared" si="32"/>
        <v>3503.8507989133373</v>
      </c>
      <c r="F470" s="44">
        <f t="shared" si="33"/>
        <v>875.96269972833431</v>
      </c>
    </row>
    <row r="471" spans="1:6" ht="13.8" thickBot="1" x14ac:dyDescent="0.3">
      <c r="A471" s="172" t="s">
        <v>159</v>
      </c>
      <c r="B471" s="45">
        <v>1</v>
      </c>
      <c r="C471" s="43">
        <f t="shared" si="35"/>
        <v>351261.04259106203</v>
      </c>
      <c r="D471" s="43">
        <f t="shared" si="34"/>
        <v>42151.325110927442</v>
      </c>
      <c r="E471" s="44">
        <f t="shared" si="32"/>
        <v>3512.6104259106201</v>
      </c>
      <c r="F471" s="44">
        <f t="shared" si="33"/>
        <v>878.15260647765501</v>
      </c>
    </row>
    <row r="472" spans="1:6" ht="13.8" thickBot="1" x14ac:dyDescent="0.3">
      <c r="A472" s="169"/>
      <c r="B472" s="45">
        <v>2</v>
      </c>
      <c r="C472" s="43">
        <f t="shared" si="35"/>
        <v>352139.1951975397</v>
      </c>
      <c r="D472" s="43">
        <f t="shared" si="34"/>
        <v>42256.703423704763</v>
      </c>
      <c r="E472" s="44">
        <f t="shared" si="32"/>
        <v>3521.3919519753968</v>
      </c>
      <c r="F472" s="44">
        <f t="shared" si="33"/>
        <v>880.34798799384919</v>
      </c>
    </row>
    <row r="473" spans="1:6" ht="13.8" thickBot="1" x14ac:dyDescent="0.3">
      <c r="A473" s="169"/>
      <c r="B473" s="45">
        <v>3</v>
      </c>
      <c r="C473" s="43">
        <f t="shared" si="35"/>
        <v>353019.54318553355</v>
      </c>
      <c r="D473" s="43">
        <f t="shared" si="34"/>
        <v>42362.345182264027</v>
      </c>
      <c r="E473" s="44">
        <f t="shared" si="32"/>
        <v>3530.1954318553358</v>
      </c>
      <c r="F473" s="44">
        <f t="shared" si="33"/>
        <v>882.54885796383394</v>
      </c>
    </row>
    <row r="474" spans="1:6" ht="13.8" thickBot="1" x14ac:dyDescent="0.3">
      <c r="A474" s="173"/>
      <c r="B474" s="45">
        <v>4</v>
      </c>
      <c r="C474" s="43">
        <f t="shared" si="35"/>
        <v>353902.09204349737</v>
      </c>
      <c r="D474" s="43">
        <f t="shared" si="34"/>
        <v>42468.25104521968</v>
      </c>
      <c r="E474" s="44">
        <f t="shared" si="32"/>
        <v>3539.0209204349735</v>
      </c>
      <c r="F474" s="44">
        <f t="shared" si="33"/>
        <v>884.75523010874338</v>
      </c>
    </row>
    <row r="475" spans="1:6" ht="13.8" thickBot="1" x14ac:dyDescent="0.3">
      <c r="A475" s="172" t="s">
        <v>160</v>
      </c>
      <c r="B475" s="45">
        <v>1</v>
      </c>
      <c r="C475" s="43">
        <f t="shared" si="35"/>
        <v>354786.84727360611</v>
      </c>
      <c r="D475" s="43">
        <f t="shared" si="34"/>
        <v>42574.42167283273</v>
      </c>
      <c r="E475" s="44">
        <f t="shared" si="32"/>
        <v>3547.868472736061</v>
      </c>
      <c r="F475" s="44">
        <f t="shared" si="33"/>
        <v>886.96711818401525</v>
      </c>
    </row>
    <row r="476" spans="1:6" ht="13.8" thickBot="1" x14ac:dyDescent="0.3">
      <c r="A476" s="169"/>
      <c r="B476" s="45">
        <v>2</v>
      </c>
      <c r="C476" s="43">
        <f t="shared" si="35"/>
        <v>355673.81439179013</v>
      </c>
      <c r="D476" s="43">
        <f t="shared" si="34"/>
        <v>42680.857727014816</v>
      </c>
      <c r="E476" s="44">
        <f t="shared" si="32"/>
        <v>3556.7381439179012</v>
      </c>
      <c r="F476" s="44">
        <f t="shared" si="33"/>
        <v>889.1845359794753</v>
      </c>
    </row>
    <row r="477" spans="1:6" ht="13.8" thickBot="1" x14ac:dyDescent="0.3">
      <c r="A477" s="169"/>
      <c r="B477" s="45">
        <v>3</v>
      </c>
      <c r="C477" s="43">
        <f t="shared" si="35"/>
        <v>356562.9989277696</v>
      </c>
      <c r="D477" s="43">
        <f t="shared" si="34"/>
        <v>42787.559871332349</v>
      </c>
      <c r="E477" s="44">
        <f t="shared" si="32"/>
        <v>3565.6299892776956</v>
      </c>
      <c r="F477" s="44">
        <f t="shared" si="33"/>
        <v>891.4074973194239</v>
      </c>
    </row>
    <row r="478" spans="1:6" ht="13.8" thickBot="1" x14ac:dyDescent="0.3">
      <c r="A478" s="173"/>
      <c r="B478" s="45">
        <v>4</v>
      </c>
      <c r="C478" s="43">
        <f t="shared" si="35"/>
        <v>357454.40642508905</v>
      </c>
      <c r="D478" s="43">
        <f t="shared" si="34"/>
        <v>42894.528771010686</v>
      </c>
      <c r="E478" s="44">
        <f t="shared" si="32"/>
        <v>3574.5440642508906</v>
      </c>
      <c r="F478" s="44">
        <f t="shared" si="33"/>
        <v>893.63601606272266</v>
      </c>
    </row>
    <row r="479" spans="1:6" ht="13.8" thickBot="1" x14ac:dyDescent="0.3">
      <c r="A479" s="172" t="s">
        <v>161</v>
      </c>
      <c r="B479" s="45">
        <v>1</v>
      </c>
      <c r="C479" s="43">
        <f t="shared" si="35"/>
        <v>358348.04244115175</v>
      </c>
      <c r="D479" s="43">
        <f t="shared" si="34"/>
        <v>43001.765092938207</v>
      </c>
      <c r="E479" s="44">
        <f t="shared" si="32"/>
        <v>3583.4804244115171</v>
      </c>
      <c r="F479" s="44">
        <f t="shared" si="33"/>
        <v>895.87010610287928</v>
      </c>
    </row>
    <row r="480" spans="1:6" ht="13.8" thickBot="1" x14ac:dyDescent="0.3">
      <c r="A480" s="169"/>
      <c r="B480" s="45">
        <v>2</v>
      </c>
      <c r="C480" s="43">
        <f t="shared" si="35"/>
        <v>359243.91254725464</v>
      </c>
      <c r="D480" s="43">
        <f t="shared" si="34"/>
        <v>43109.269505670556</v>
      </c>
      <c r="E480" s="44">
        <f t="shared" si="32"/>
        <v>3592.4391254725465</v>
      </c>
      <c r="F480" s="44">
        <f t="shared" si="33"/>
        <v>898.10978136813662</v>
      </c>
    </row>
    <row r="481" spans="1:6" ht="13.8" thickBot="1" x14ac:dyDescent="0.3">
      <c r="A481" s="169"/>
      <c r="B481" s="45">
        <v>3</v>
      </c>
      <c r="C481" s="43">
        <f t="shared" si="35"/>
        <v>360142.02232862276</v>
      </c>
      <c r="D481" s="43">
        <f t="shared" si="34"/>
        <v>43217.04267943473</v>
      </c>
      <c r="E481" s="44">
        <f t="shared" si="32"/>
        <v>3601.4202232862276</v>
      </c>
      <c r="F481" s="44">
        <f t="shared" si="33"/>
        <v>900.3550558215569</v>
      </c>
    </row>
    <row r="482" spans="1:6" ht="13.8" thickBot="1" x14ac:dyDescent="0.3">
      <c r="A482" s="173"/>
      <c r="B482" s="45">
        <v>4</v>
      </c>
      <c r="C482" s="43">
        <f t="shared" si="35"/>
        <v>361042.37738444429</v>
      </c>
      <c r="D482" s="43">
        <f t="shared" si="34"/>
        <v>43325.085286133311</v>
      </c>
      <c r="E482" s="44">
        <f t="shared" si="32"/>
        <v>3610.4237738444426</v>
      </c>
      <c r="F482" s="44">
        <f t="shared" si="33"/>
        <v>902.60594346111066</v>
      </c>
    </row>
    <row r="483" spans="1:6" ht="13.8" thickBot="1" x14ac:dyDescent="0.3">
      <c r="A483" s="172" t="s">
        <v>162</v>
      </c>
      <c r="B483" s="45">
        <v>1</v>
      </c>
      <c r="C483" s="43">
        <f t="shared" si="35"/>
        <v>361944.98332790541</v>
      </c>
      <c r="D483" s="43">
        <f t="shared" si="34"/>
        <v>43433.39799934865</v>
      </c>
      <c r="E483" s="44">
        <f t="shared" si="32"/>
        <v>3619.449833279054</v>
      </c>
      <c r="F483" s="44">
        <f t="shared" si="33"/>
        <v>904.8624583197635</v>
      </c>
    </row>
    <row r="484" spans="1:6" ht="13.8" thickBot="1" x14ac:dyDescent="0.3">
      <c r="A484" s="169"/>
      <c r="B484" s="45">
        <v>2</v>
      </c>
      <c r="C484" s="43">
        <f t="shared" si="35"/>
        <v>362849.84578622517</v>
      </c>
      <c r="D484" s="43">
        <f t="shared" si="34"/>
        <v>43541.981494347019</v>
      </c>
      <c r="E484" s="44">
        <f t="shared" si="32"/>
        <v>3628.4984578622516</v>
      </c>
      <c r="F484" s="44">
        <f t="shared" si="33"/>
        <v>907.1246144655629</v>
      </c>
    </row>
    <row r="485" spans="1:6" ht="13.8" thickBot="1" x14ac:dyDescent="0.3">
      <c r="A485" s="169"/>
      <c r="B485" s="45">
        <v>3</v>
      </c>
      <c r="C485" s="43">
        <f t="shared" si="35"/>
        <v>363756.97040069074</v>
      </c>
      <c r="D485" s="43">
        <f t="shared" si="34"/>
        <v>43650.83644808289</v>
      </c>
      <c r="E485" s="44">
        <f t="shared" si="32"/>
        <v>3637.5697040069076</v>
      </c>
      <c r="F485" s="44">
        <f t="shared" si="33"/>
        <v>909.3924260017269</v>
      </c>
    </row>
    <row r="486" spans="1:6" ht="13.8" thickBot="1" x14ac:dyDescent="0.3">
      <c r="A486" s="173"/>
      <c r="B486" s="45">
        <v>4</v>
      </c>
      <c r="C486" s="43">
        <f t="shared" si="35"/>
        <v>364666.36282669246</v>
      </c>
      <c r="D486" s="43">
        <f t="shared" si="34"/>
        <v>43759.96353920309</v>
      </c>
      <c r="E486" s="44">
        <f t="shared" si="32"/>
        <v>3646.6636282669242</v>
      </c>
      <c r="F486" s="44">
        <f t="shared" si="33"/>
        <v>911.66590706673105</v>
      </c>
    </row>
    <row r="487" spans="1:6" x14ac:dyDescent="0.25">
      <c r="A487" s="169" t="s">
        <v>163</v>
      </c>
      <c r="B487" s="45">
        <v>1</v>
      </c>
      <c r="C487" s="43">
        <f t="shared" si="35"/>
        <v>365578.02873375919</v>
      </c>
      <c r="D487" s="43">
        <f t="shared" si="34"/>
        <v>43869.363448051103</v>
      </c>
      <c r="E487" s="44">
        <f t="shared" si="32"/>
        <v>3655.7802873375917</v>
      </c>
      <c r="F487" s="44">
        <f t="shared" si="33"/>
        <v>913.94507183439794</v>
      </c>
    </row>
    <row r="488" spans="1:6" x14ac:dyDescent="0.25">
      <c r="A488" s="170"/>
      <c r="B488" s="45">
        <v>2</v>
      </c>
      <c r="C488" s="43">
        <f t="shared" si="35"/>
        <v>366491.97380559356</v>
      </c>
      <c r="D488" s="43">
        <f t="shared" si="34"/>
        <v>43979.036856671228</v>
      </c>
      <c r="E488" s="44">
        <f t="shared" si="32"/>
        <v>3664.9197380559358</v>
      </c>
      <c r="F488" s="44">
        <f t="shared" si="33"/>
        <v>916.22993451398395</v>
      </c>
    </row>
    <row r="489" spans="1:6" x14ac:dyDescent="0.25">
      <c r="A489" s="170"/>
      <c r="B489" s="45">
        <v>3</v>
      </c>
      <c r="C489" s="43">
        <f t="shared" si="35"/>
        <v>367408.20374010754</v>
      </c>
      <c r="D489" s="43">
        <f t="shared" si="34"/>
        <v>44088.984448812902</v>
      </c>
      <c r="E489" s="44">
        <f t="shared" si="32"/>
        <v>3674.082037401075</v>
      </c>
      <c r="F489" s="44">
        <f t="shared" si="33"/>
        <v>918.52050935026875</v>
      </c>
    </row>
    <row r="490" spans="1:6" ht="13.8" thickBot="1" x14ac:dyDescent="0.3">
      <c r="A490" s="171"/>
      <c r="B490" s="45">
        <v>4</v>
      </c>
      <c r="C490" s="43">
        <f t="shared" si="35"/>
        <v>368326.72424945782</v>
      </c>
      <c r="D490" s="43">
        <f t="shared" si="34"/>
        <v>44199.206909934939</v>
      </c>
      <c r="E490" s="44">
        <f t="shared" si="32"/>
        <v>3683.2672424945781</v>
      </c>
      <c r="F490" s="44">
        <f t="shared" si="33"/>
        <v>920.81681062364453</v>
      </c>
    </row>
    <row r="491" spans="1:6" x14ac:dyDescent="0.25">
      <c r="A491" s="169" t="s">
        <v>164</v>
      </c>
      <c r="B491" s="45">
        <v>1</v>
      </c>
      <c r="C491" s="43">
        <f t="shared" si="35"/>
        <v>369247.54106008145</v>
      </c>
      <c r="D491" s="43">
        <f t="shared" si="34"/>
        <v>44309.704927209772</v>
      </c>
      <c r="E491" s="44">
        <f t="shared" si="32"/>
        <v>3692.4754106008145</v>
      </c>
      <c r="F491" s="44">
        <f t="shared" si="33"/>
        <v>923.11885265020362</v>
      </c>
    </row>
    <row r="492" spans="1:6" x14ac:dyDescent="0.25">
      <c r="A492" s="170"/>
      <c r="B492" s="45">
        <v>2</v>
      </c>
      <c r="C492" s="43">
        <f t="shared" si="35"/>
        <v>370170.65991273167</v>
      </c>
      <c r="D492" s="43">
        <f t="shared" si="34"/>
        <v>44420.479189527796</v>
      </c>
      <c r="E492" s="44">
        <f t="shared" si="32"/>
        <v>3701.7065991273162</v>
      </c>
      <c r="F492" s="44">
        <f t="shared" si="33"/>
        <v>925.42664978182904</v>
      </c>
    </row>
    <row r="493" spans="1:6" x14ac:dyDescent="0.25">
      <c r="A493" s="170"/>
      <c r="B493" s="45">
        <v>3</v>
      </c>
      <c r="C493" s="43">
        <f t="shared" si="35"/>
        <v>371096.08656251349</v>
      </c>
      <c r="D493" s="43">
        <f t="shared" si="34"/>
        <v>44531.530387501618</v>
      </c>
      <c r="E493" s="44">
        <f t="shared" si="32"/>
        <v>3710.9608656251348</v>
      </c>
      <c r="F493" s="44">
        <f t="shared" si="33"/>
        <v>927.74021640628371</v>
      </c>
    </row>
    <row r="494" spans="1:6" ht="13.8" thickBot="1" x14ac:dyDescent="0.3">
      <c r="A494" s="171"/>
      <c r="B494" s="45">
        <v>4</v>
      </c>
      <c r="C494" s="43">
        <f t="shared" si="35"/>
        <v>372023.82677891979</v>
      </c>
      <c r="D494" s="43">
        <f t="shared" si="34"/>
        <v>44642.859213470372</v>
      </c>
      <c r="E494" s="44">
        <f t="shared" si="32"/>
        <v>3720.2382677891978</v>
      </c>
      <c r="F494" s="44">
        <f t="shared" si="33"/>
        <v>930.05956694729946</v>
      </c>
    </row>
    <row r="495" spans="1:6" x14ac:dyDescent="0.25">
      <c r="A495" s="169" t="s">
        <v>165</v>
      </c>
      <c r="B495" s="45">
        <v>1</v>
      </c>
      <c r="C495" s="43">
        <f t="shared" si="35"/>
        <v>372953.88634586707</v>
      </c>
      <c r="D495" s="43">
        <f t="shared" si="34"/>
        <v>44754.466361504048</v>
      </c>
      <c r="E495" s="44">
        <f t="shared" si="32"/>
        <v>3729.5388634586707</v>
      </c>
      <c r="F495" s="44">
        <f t="shared" si="33"/>
        <v>932.38471586466767</v>
      </c>
    </row>
    <row r="496" spans="1:6" x14ac:dyDescent="0.25">
      <c r="A496" s="170"/>
      <c r="B496" s="45">
        <v>2</v>
      </c>
      <c r="C496" s="43">
        <f t="shared" si="35"/>
        <v>373886.27106173174</v>
      </c>
      <c r="D496" s="43">
        <f t="shared" si="34"/>
        <v>44866.352527407806</v>
      </c>
      <c r="E496" s="44">
        <f t="shared" si="32"/>
        <v>3738.8627106173171</v>
      </c>
      <c r="F496" s="44">
        <f t="shared" si="33"/>
        <v>934.71567765432928</v>
      </c>
    </row>
    <row r="497" spans="1:6" x14ac:dyDescent="0.25">
      <c r="A497" s="170"/>
      <c r="B497" s="45">
        <v>3</v>
      </c>
      <c r="C497" s="43">
        <f t="shared" si="35"/>
        <v>374820.98673938605</v>
      </c>
      <c r="D497" s="43">
        <f t="shared" si="34"/>
        <v>44978.518408726326</v>
      </c>
      <c r="E497" s="44">
        <f t="shared" si="32"/>
        <v>3748.2098673938603</v>
      </c>
      <c r="F497" s="44">
        <f t="shared" si="33"/>
        <v>937.05246684846509</v>
      </c>
    </row>
    <row r="498" spans="1:6" ht="13.8" thickBot="1" x14ac:dyDescent="0.3">
      <c r="A498" s="171"/>
      <c r="B498" s="45">
        <v>4</v>
      </c>
      <c r="C498" s="43">
        <f t="shared" si="35"/>
        <v>375758.03920623451</v>
      </c>
      <c r="D498" s="43">
        <f t="shared" si="34"/>
        <v>45090.964704748141</v>
      </c>
      <c r="E498" s="44">
        <f t="shared" si="32"/>
        <v>3757.5803920623453</v>
      </c>
      <c r="F498" s="44">
        <f t="shared" si="33"/>
        <v>939.39509801558631</v>
      </c>
    </row>
    <row r="499" spans="1:6" x14ac:dyDescent="0.25">
      <c r="A499" s="169" t="s">
        <v>163</v>
      </c>
      <c r="B499" s="45">
        <v>1</v>
      </c>
      <c r="C499" s="43">
        <f>C498+F498</f>
        <v>376697.43430425011</v>
      </c>
      <c r="D499" s="43">
        <f t="shared" si="34"/>
        <v>45203.692116510014</v>
      </c>
      <c r="E499" s="44">
        <f t="shared" si="32"/>
        <v>3766.974343042501</v>
      </c>
      <c r="F499" s="44">
        <f t="shared" si="33"/>
        <v>941.74358576062525</v>
      </c>
    </row>
    <row r="500" spans="1:6" x14ac:dyDescent="0.25">
      <c r="A500" s="170"/>
      <c r="B500" s="45">
        <v>2</v>
      </c>
      <c r="C500" s="43">
        <f>C499+F499</f>
        <v>377639.17789001076</v>
      </c>
      <c r="D500" s="43">
        <f t="shared" si="34"/>
        <v>45316.701346801288</v>
      </c>
      <c r="E500" s="44">
        <f t="shared" si="32"/>
        <v>3776.3917789001075</v>
      </c>
      <c r="F500" s="44">
        <f t="shared" si="33"/>
        <v>944.09794472502688</v>
      </c>
    </row>
    <row r="501" spans="1:6" x14ac:dyDescent="0.25">
      <c r="A501" s="170"/>
      <c r="B501" s="45">
        <v>3</v>
      </c>
      <c r="C501" s="43">
        <f>C500+F500</f>
        <v>378583.27583473577</v>
      </c>
      <c r="D501" s="43">
        <f t="shared" si="34"/>
        <v>45429.993100168293</v>
      </c>
      <c r="E501" s="44">
        <f t="shared" si="32"/>
        <v>3785.8327583473579</v>
      </c>
      <c r="F501" s="44">
        <f t="shared" si="33"/>
        <v>946.45818958683947</v>
      </c>
    </row>
    <row r="502" spans="1:6" ht="13.8" thickBot="1" x14ac:dyDescent="0.3">
      <c r="A502" s="171"/>
      <c r="B502" s="45">
        <v>4</v>
      </c>
      <c r="C502" s="43">
        <f>C501+F501</f>
        <v>379529.73402432259</v>
      </c>
      <c r="D502" s="43">
        <f t="shared" si="34"/>
        <v>45543.568082918711</v>
      </c>
      <c r="E502" s="44">
        <f t="shared" si="32"/>
        <v>3795.2973402432258</v>
      </c>
      <c r="F502" s="44">
        <f t="shared" si="33"/>
        <v>948.82433506080645</v>
      </c>
    </row>
    <row r="503" spans="1:6" ht="13.8" thickBot="1" x14ac:dyDescent="0.3">
      <c r="A503" s="172" t="s">
        <v>40</v>
      </c>
      <c r="B503" s="45">
        <v>1</v>
      </c>
      <c r="C503" s="43">
        <f t="shared" ref="C503:C566" si="36">IF(B503=1,C502+F502+$B$3,C502+F502)</f>
        <v>380478.55835938337</v>
      </c>
      <c r="D503" s="43">
        <f t="shared" si="34"/>
        <v>45657.427003126002</v>
      </c>
      <c r="E503" s="44">
        <f t="shared" si="32"/>
        <v>3804.7855835938335</v>
      </c>
      <c r="F503" s="44">
        <f t="shared" si="33"/>
        <v>951.19639589845838</v>
      </c>
    </row>
    <row r="504" spans="1:6" ht="13.8" thickBot="1" x14ac:dyDescent="0.3">
      <c r="A504" s="169"/>
      <c r="B504" s="45">
        <v>2</v>
      </c>
      <c r="C504" s="43">
        <f t="shared" si="36"/>
        <v>381429.75475528184</v>
      </c>
      <c r="D504" s="43">
        <f t="shared" si="34"/>
        <v>45771.570570633819</v>
      </c>
      <c r="E504" s="44">
        <f t="shared" si="32"/>
        <v>3814.2975475528183</v>
      </c>
      <c r="F504" s="44">
        <f t="shared" si="33"/>
        <v>953.57438688820457</v>
      </c>
    </row>
    <row r="505" spans="1:6" ht="13.8" thickBot="1" x14ac:dyDescent="0.3">
      <c r="A505" s="169"/>
      <c r="B505" s="45">
        <v>3</v>
      </c>
      <c r="C505" s="43">
        <f t="shared" si="36"/>
        <v>382383.32914217003</v>
      </c>
      <c r="D505" s="43">
        <f t="shared" si="34"/>
        <v>45885.999497060402</v>
      </c>
      <c r="E505" s="44">
        <f t="shared" si="32"/>
        <v>3823.8332914217003</v>
      </c>
      <c r="F505" s="44">
        <f t="shared" si="33"/>
        <v>955.95832285542508</v>
      </c>
    </row>
    <row r="506" spans="1:6" ht="13.8" thickBot="1" x14ac:dyDescent="0.3">
      <c r="A506" s="173"/>
      <c r="B506" s="45">
        <v>4</v>
      </c>
      <c r="C506" s="43">
        <f t="shared" si="36"/>
        <v>383339.28746502544</v>
      </c>
      <c r="D506" s="43">
        <f t="shared" si="34"/>
        <v>46000.714495803048</v>
      </c>
      <c r="E506" s="44">
        <f t="shared" si="32"/>
        <v>3833.3928746502538</v>
      </c>
      <c r="F506" s="44">
        <f t="shared" si="33"/>
        <v>958.34821866256345</v>
      </c>
    </row>
    <row r="507" spans="1:6" ht="13.8" thickBot="1" x14ac:dyDescent="0.3">
      <c r="A507" s="172" t="s">
        <v>46</v>
      </c>
      <c r="B507" s="45">
        <v>1</v>
      </c>
      <c r="C507" s="43">
        <f t="shared" si="36"/>
        <v>384297.63568368799</v>
      </c>
      <c r="D507" s="43">
        <f t="shared" si="34"/>
        <v>46115.716282042558</v>
      </c>
      <c r="E507" s="44">
        <f t="shared" si="32"/>
        <v>3842.9763568368799</v>
      </c>
      <c r="F507" s="44">
        <f t="shared" si="33"/>
        <v>960.74408920921996</v>
      </c>
    </row>
    <row r="508" spans="1:6" ht="13.8" thickBot="1" x14ac:dyDescent="0.3">
      <c r="A508" s="169"/>
      <c r="B508" s="45">
        <v>2</v>
      </c>
      <c r="C508" s="43">
        <f t="shared" si="36"/>
        <v>385258.37977289723</v>
      </c>
      <c r="D508" s="43">
        <f t="shared" si="34"/>
        <v>46231.005572747665</v>
      </c>
      <c r="E508" s="44">
        <f t="shared" si="32"/>
        <v>3852.5837977289721</v>
      </c>
      <c r="F508" s="44">
        <f t="shared" si="33"/>
        <v>963.14594943224301</v>
      </c>
    </row>
    <row r="509" spans="1:6" ht="13.8" thickBot="1" x14ac:dyDescent="0.3">
      <c r="A509" s="169"/>
      <c r="B509" s="45">
        <v>3</v>
      </c>
      <c r="C509" s="43">
        <f t="shared" si="36"/>
        <v>386221.52572232945</v>
      </c>
      <c r="D509" s="43">
        <f t="shared" si="34"/>
        <v>46346.58308667953</v>
      </c>
      <c r="E509" s="44">
        <f t="shared" si="32"/>
        <v>3862.215257223294</v>
      </c>
      <c r="F509" s="44">
        <f t="shared" si="33"/>
        <v>965.55381430582349</v>
      </c>
    </row>
    <row r="510" spans="1:6" ht="13.8" thickBot="1" x14ac:dyDescent="0.3">
      <c r="A510" s="174"/>
      <c r="B510" s="48">
        <v>4</v>
      </c>
      <c r="C510" s="49">
        <f t="shared" si="36"/>
        <v>387187.07953663525</v>
      </c>
      <c r="D510" s="43">
        <f t="shared" si="34"/>
        <v>46462.44954439623</v>
      </c>
      <c r="E510" s="50">
        <f t="shared" si="32"/>
        <v>3871.8707953663525</v>
      </c>
      <c r="F510" s="50">
        <f t="shared" si="33"/>
        <v>967.96769884158812</v>
      </c>
    </row>
    <row r="511" spans="1:6" ht="14.4" thickTop="1" thickBot="1" x14ac:dyDescent="0.3">
      <c r="A511" s="175" t="s">
        <v>47</v>
      </c>
      <c r="B511" s="47">
        <v>1</v>
      </c>
      <c r="C511" s="43">
        <f t="shared" si="36"/>
        <v>388155.04723547684</v>
      </c>
      <c r="D511" s="43">
        <f t="shared" si="34"/>
        <v>46578.605668257216</v>
      </c>
      <c r="E511" s="44">
        <f t="shared" si="32"/>
        <v>3881.5504723547679</v>
      </c>
      <c r="F511" s="44">
        <f t="shared" si="33"/>
        <v>970.38761808869197</v>
      </c>
    </row>
    <row r="512" spans="1:6" ht="13.8" thickBot="1" x14ac:dyDescent="0.3">
      <c r="A512" s="169"/>
      <c r="B512" s="45">
        <v>2</v>
      </c>
      <c r="C512" s="43">
        <f t="shared" si="36"/>
        <v>389125.43485356553</v>
      </c>
      <c r="D512" s="43">
        <f t="shared" si="34"/>
        <v>46695.052182427862</v>
      </c>
      <c r="E512" s="44">
        <f t="shared" si="32"/>
        <v>3891.254348535655</v>
      </c>
      <c r="F512" s="44">
        <f t="shared" si="33"/>
        <v>972.81358713391376</v>
      </c>
    </row>
    <row r="513" spans="1:6" ht="13.8" thickBot="1" x14ac:dyDescent="0.3">
      <c r="A513" s="169"/>
      <c r="B513" s="45">
        <v>3</v>
      </c>
      <c r="C513" s="43">
        <f t="shared" si="36"/>
        <v>390098.24844069942</v>
      </c>
      <c r="D513" s="43">
        <f t="shared" si="34"/>
        <v>46811.78981288393</v>
      </c>
      <c r="E513" s="44">
        <f t="shared" si="32"/>
        <v>3900.982484406994</v>
      </c>
      <c r="F513" s="44">
        <f t="shared" si="33"/>
        <v>975.2456211017485</v>
      </c>
    </row>
    <row r="514" spans="1:6" ht="13.8" thickBot="1" x14ac:dyDescent="0.3">
      <c r="A514" s="173"/>
      <c r="B514" s="45">
        <v>4</v>
      </c>
      <c r="C514" s="43">
        <f t="shared" si="36"/>
        <v>391073.49406180118</v>
      </c>
      <c r="D514" s="43">
        <f t="shared" si="34"/>
        <v>46928.81928741614</v>
      </c>
      <c r="E514" s="44">
        <f t="shared" si="32"/>
        <v>3910.7349406180115</v>
      </c>
      <c r="F514" s="44">
        <f t="shared" si="33"/>
        <v>977.68373515450287</v>
      </c>
    </row>
    <row r="515" spans="1:6" ht="13.8" thickBot="1" x14ac:dyDescent="0.3">
      <c r="A515" s="172" t="s">
        <v>48</v>
      </c>
      <c r="B515" s="45">
        <v>1</v>
      </c>
      <c r="C515" s="43">
        <f t="shared" si="36"/>
        <v>392051.17779695569</v>
      </c>
      <c r="D515" s="43">
        <f t="shared" si="34"/>
        <v>47046.141335634682</v>
      </c>
      <c r="E515" s="44">
        <f t="shared" si="32"/>
        <v>3920.511777969557</v>
      </c>
      <c r="F515" s="44">
        <f t="shared" si="33"/>
        <v>980.12794449238925</v>
      </c>
    </row>
    <row r="516" spans="1:6" ht="13.8" thickBot="1" x14ac:dyDescent="0.3">
      <c r="A516" s="169"/>
      <c r="B516" s="45">
        <v>2</v>
      </c>
      <c r="C516" s="43">
        <f t="shared" si="36"/>
        <v>393031.30574144807</v>
      </c>
      <c r="D516" s="43">
        <f t="shared" si="34"/>
        <v>47163.756688973765</v>
      </c>
      <c r="E516" s="44">
        <f t="shared" si="32"/>
        <v>3930.3130574144802</v>
      </c>
      <c r="F516" s="44">
        <f t="shared" si="33"/>
        <v>982.57826435362006</v>
      </c>
    </row>
    <row r="517" spans="1:6" ht="13.8" thickBot="1" x14ac:dyDescent="0.3">
      <c r="A517" s="169"/>
      <c r="B517" s="45">
        <v>3</v>
      </c>
      <c r="C517" s="43">
        <f t="shared" si="36"/>
        <v>394013.88400580169</v>
      </c>
      <c r="D517" s="43">
        <f t="shared" si="34"/>
        <v>47281.666080696203</v>
      </c>
      <c r="E517" s="44">
        <f t="shared" si="32"/>
        <v>3940.1388400580167</v>
      </c>
      <c r="F517" s="44">
        <f t="shared" si="33"/>
        <v>985.03471001450418</v>
      </c>
    </row>
    <row r="518" spans="1:6" ht="13.8" thickBot="1" x14ac:dyDescent="0.3">
      <c r="A518" s="173"/>
      <c r="B518" s="45">
        <v>4</v>
      </c>
      <c r="C518" s="43">
        <f t="shared" si="36"/>
        <v>394998.91871581622</v>
      </c>
      <c r="D518" s="43">
        <f t="shared" si="34"/>
        <v>47399.870245897946</v>
      </c>
      <c r="E518" s="44">
        <f t="shared" ref="E518:E581" si="37">D518/12</f>
        <v>3949.9891871581622</v>
      </c>
      <c r="F518" s="44">
        <f t="shared" ref="F518:F581" si="38">E518/4</f>
        <v>987.49729678954054</v>
      </c>
    </row>
    <row r="519" spans="1:6" ht="13.8" thickBot="1" x14ac:dyDescent="0.3">
      <c r="A519" s="172" t="s">
        <v>49</v>
      </c>
      <c r="B519" s="45">
        <v>1</v>
      </c>
      <c r="C519" s="43">
        <f t="shared" si="36"/>
        <v>395986.41601260577</v>
      </c>
      <c r="D519" s="43">
        <f t="shared" ref="D519:D582" si="39">C519*$F$2</f>
        <v>47518.369921512691</v>
      </c>
      <c r="E519" s="44">
        <f t="shared" si="37"/>
        <v>3959.8641601260574</v>
      </c>
      <c r="F519" s="44">
        <f t="shared" si="38"/>
        <v>989.96604003151435</v>
      </c>
    </row>
    <row r="520" spans="1:6" ht="13.8" thickBot="1" x14ac:dyDescent="0.3">
      <c r="A520" s="169"/>
      <c r="B520" s="45">
        <v>2</v>
      </c>
      <c r="C520" s="43">
        <f t="shared" si="36"/>
        <v>396976.38205263729</v>
      </c>
      <c r="D520" s="43">
        <f t="shared" si="39"/>
        <v>47637.165846316471</v>
      </c>
      <c r="E520" s="44">
        <f t="shared" si="37"/>
        <v>3969.7638205263725</v>
      </c>
      <c r="F520" s="44">
        <f t="shared" si="38"/>
        <v>992.44095513159311</v>
      </c>
    </row>
    <row r="521" spans="1:6" ht="13.8" thickBot="1" x14ac:dyDescent="0.3">
      <c r="A521" s="169"/>
      <c r="B521" s="45">
        <v>3</v>
      </c>
      <c r="C521" s="43">
        <f t="shared" si="36"/>
        <v>397968.82300776889</v>
      </c>
      <c r="D521" s="43">
        <f t="shared" si="39"/>
        <v>47756.258760932265</v>
      </c>
      <c r="E521" s="44">
        <f t="shared" si="37"/>
        <v>3979.6882300776888</v>
      </c>
      <c r="F521" s="44">
        <f t="shared" si="38"/>
        <v>994.9220575194222</v>
      </c>
    </row>
    <row r="522" spans="1:6" ht="13.8" thickBot="1" x14ac:dyDescent="0.3">
      <c r="A522" s="173"/>
      <c r="B522" s="45">
        <v>4</v>
      </c>
      <c r="C522" s="43">
        <f t="shared" si="36"/>
        <v>398963.74506528833</v>
      </c>
      <c r="D522" s="43">
        <f t="shared" si="39"/>
        <v>47875.6494078346</v>
      </c>
      <c r="E522" s="44">
        <f t="shared" si="37"/>
        <v>3989.6374506528832</v>
      </c>
      <c r="F522" s="44">
        <f t="shared" si="38"/>
        <v>997.4093626632208</v>
      </c>
    </row>
    <row r="523" spans="1:6" ht="13.8" thickBot="1" x14ac:dyDescent="0.3">
      <c r="A523" s="172" t="s">
        <v>50</v>
      </c>
      <c r="B523" s="45">
        <v>1</v>
      </c>
      <c r="C523" s="43">
        <f t="shared" si="36"/>
        <v>399961.15442795155</v>
      </c>
      <c r="D523" s="43">
        <f t="shared" si="39"/>
        <v>47995.338531354188</v>
      </c>
      <c r="E523" s="44">
        <f t="shared" si="37"/>
        <v>3999.6115442795158</v>
      </c>
      <c r="F523" s="44">
        <f t="shared" si="38"/>
        <v>999.90288606987895</v>
      </c>
    </row>
    <row r="524" spans="1:6" ht="13.8" thickBot="1" x14ac:dyDescent="0.3">
      <c r="A524" s="169"/>
      <c r="B524" s="45">
        <v>2</v>
      </c>
      <c r="C524" s="43">
        <f t="shared" si="36"/>
        <v>400961.05731402145</v>
      </c>
      <c r="D524" s="43">
        <f t="shared" si="39"/>
        <v>48115.326877682572</v>
      </c>
      <c r="E524" s="44">
        <f t="shared" si="37"/>
        <v>4009.6105731402145</v>
      </c>
      <c r="F524" s="44">
        <f t="shared" si="38"/>
        <v>1002.4026432850536</v>
      </c>
    </row>
    <row r="525" spans="1:6" ht="13.8" thickBot="1" x14ac:dyDescent="0.3">
      <c r="A525" s="169"/>
      <c r="B525" s="45">
        <v>3</v>
      </c>
      <c r="C525" s="43">
        <f t="shared" si="36"/>
        <v>401963.45995730651</v>
      </c>
      <c r="D525" s="43">
        <f t="shared" si="39"/>
        <v>48235.61519487678</v>
      </c>
      <c r="E525" s="44">
        <f t="shared" si="37"/>
        <v>4019.6345995730649</v>
      </c>
      <c r="F525" s="44">
        <f t="shared" si="38"/>
        <v>1004.9086498932662</v>
      </c>
    </row>
    <row r="526" spans="1:6" ht="13.8" thickBot="1" x14ac:dyDescent="0.3">
      <c r="A526" s="173"/>
      <c r="B526" s="45">
        <v>4</v>
      </c>
      <c r="C526" s="43">
        <f t="shared" si="36"/>
        <v>402968.36860719975</v>
      </c>
      <c r="D526" s="43">
        <f t="shared" si="39"/>
        <v>48356.204232863965</v>
      </c>
      <c r="E526" s="44">
        <f t="shared" si="37"/>
        <v>4029.6836860719973</v>
      </c>
      <c r="F526" s="44">
        <f t="shared" si="38"/>
        <v>1007.4209215179993</v>
      </c>
    </row>
    <row r="527" spans="1:6" ht="13.8" thickBot="1" x14ac:dyDescent="0.3">
      <c r="A527" s="172" t="s">
        <v>51</v>
      </c>
      <c r="B527" s="45">
        <v>1</v>
      </c>
      <c r="C527" s="43">
        <f t="shared" si="36"/>
        <v>403975.78952871775</v>
      </c>
      <c r="D527" s="43">
        <f t="shared" si="39"/>
        <v>48477.094743446127</v>
      </c>
      <c r="E527" s="44">
        <f t="shared" si="37"/>
        <v>4039.7578952871772</v>
      </c>
      <c r="F527" s="44">
        <f t="shared" si="38"/>
        <v>1009.9394738217943</v>
      </c>
    </row>
    <row r="528" spans="1:6" ht="13.8" thickBot="1" x14ac:dyDescent="0.3">
      <c r="A528" s="169"/>
      <c r="B528" s="45">
        <v>2</v>
      </c>
      <c r="C528" s="43">
        <f t="shared" si="36"/>
        <v>404985.72900253953</v>
      </c>
      <c r="D528" s="43">
        <f t="shared" si="39"/>
        <v>48598.287480304745</v>
      </c>
      <c r="E528" s="44">
        <f t="shared" si="37"/>
        <v>4049.8572900253953</v>
      </c>
      <c r="F528" s="44">
        <f t="shared" si="38"/>
        <v>1012.4643225063488</v>
      </c>
    </row>
    <row r="529" spans="1:6" ht="13.8" thickBot="1" x14ac:dyDescent="0.3">
      <c r="A529" s="169"/>
      <c r="B529" s="45">
        <v>3</v>
      </c>
      <c r="C529" s="43">
        <f t="shared" si="36"/>
        <v>405998.19332504587</v>
      </c>
      <c r="D529" s="43">
        <f t="shared" si="39"/>
        <v>48719.783199005506</v>
      </c>
      <c r="E529" s="44">
        <f t="shared" si="37"/>
        <v>4059.981933250459</v>
      </c>
      <c r="F529" s="44">
        <f t="shared" si="38"/>
        <v>1014.9954833126147</v>
      </c>
    </row>
    <row r="530" spans="1:6" ht="13.8" thickBot="1" x14ac:dyDescent="0.3">
      <c r="A530" s="173"/>
      <c r="B530" s="45">
        <v>4</v>
      </c>
      <c r="C530" s="43">
        <f t="shared" si="36"/>
        <v>407013.18880835851</v>
      </c>
      <c r="D530" s="43">
        <f t="shared" si="39"/>
        <v>48841.582657003019</v>
      </c>
      <c r="E530" s="44">
        <f t="shared" si="37"/>
        <v>4070.1318880835847</v>
      </c>
      <c r="F530" s="44">
        <f t="shared" si="38"/>
        <v>1017.5329720208962</v>
      </c>
    </row>
    <row r="531" spans="1:6" ht="13.8" thickBot="1" x14ac:dyDescent="0.3">
      <c r="A531" s="172" t="s">
        <v>52</v>
      </c>
      <c r="B531" s="45">
        <v>1</v>
      </c>
      <c r="C531" s="43">
        <f t="shared" si="36"/>
        <v>408030.72178037942</v>
      </c>
      <c r="D531" s="43">
        <f t="shared" si="39"/>
        <v>48963.686613645528</v>
      </c>
      <c r="E531" s="44">
        <f t="shared" si="37"/>
        <v>4080.3072178037942</v>
      </c>
      <c r="F531" s="44">
        <f t="shared" si="38"/>
        <v>1020.0768044509485</v>
      </c>
    </row>
    <row r="532" spans="1:6" ht="13.8" thickBot="1" x14ac:dyDescent="0.3">
      <c r="A532" s="169"/>
      <c r="B532" s="45">
        <v>2</v>
      </c>
      <c r="C532" s="43">
        <f t="shared" si="36"/>
        <v>409050.79858483037</v>
      </c>
      <c r="D532" s="43">
        <f t="shared" si="39"/>
        <v>49086.095830179642</v>
      </c>
      <c r="E532" s="44">
        <f t="shared" si="37"/>
        <v>4090.5079858483036</v>
      </c>
      <c r="F532" s="44">
        <f t="shared" si="38"/>
        <v>1022.6269964620759</v>
      </c>
    </row>
    <row r="533" spans="1:6" ht="13.8" thickBot="1" x14ac:dyDescent="0.3">
      <c r="A533" s="169"/>
      <c r="B533" s="45">
        <v>3</v>
      </c>
      <c r="C533" s="43">
        <f t="shared" si="36"/>
        <v>410073.42558129242</v>
      </c>
      <c r="D533" s="43">
        <f t="shared" si="39"/>
        <v>49208.811069755087</v>
      </c>
      <c r="E533" s="44">
        <f t="shared" si="37"/>
        <v>4100.7342558129239</v>
      </c>
      <c r="F533" s="44">
        <f t="shared" si="38"/>
        <v>1025.183563953231</v>
      </c>
    </row>
    <row r="534" spans="1:6" ht="13.8" thickBot="1" x14ac:dyDescent="0.3">
      <c r="A534" s="173"/>
      <c r="B534" s="45">
        <v>4</v>
      </c>
      <c r="C534" s="43">
        <f t="shared" si="36"/>
        <v>411098.60914524563</v>
      </c>
      <c r="D534" s="43">
        <f t="shared" si="39"/>
        <v>49331.833097429473</v>
      </c>
      <c r="E534" s="44">
        <f t="shared" si="37"/>
        <v>4110.9860914524561</v>
      </c>
      <c r="F534" s="44">
        <f t="shared" si="38"/>
        <v>1027.746522863114</v>
      </c>
    </row>
    <row r="535" spans="1:6" ht="13.8" thickBot="1" x14ac:dyDescent="0.3">
      <c r="A535" s="172" t="s">
        <v>53</v>
      </c>
      <c r="B535" s="45">
        <v>1</v>
      </c>
      <c r="C535" s="43">
        <f t="shared" si="36"/>
        <v>412126.35566810874</v>
      </c>
      <c r="D535" s="43">
        <f t="shared" si="39"/>
        <v>49455.162680173045</v>
      </c>
      <c r="E535" s="44">
        <f t="shared" si="37"/>
        <v>4121.2635566810868</v>
      </c>
      <c r="F535" s="44">
        <f t="shared" si="38"/>
        <v>1030.3158891702717</v>
      </c>
    </row>
    <row r="536" spans="1:6" ht="13.8" thickBot="1" x14ac:dyDescent="0.3">
      <c r="A536" s="169"/>
      <c r="B536" s="45">
        <v>2</v>
      </c>
      <c r="C536" s="43">
        <f t="shared" si="36"/>
        <v>413156.67155727901</v>
      </c>
      <c r="D536" s="43">
        <f t="shared" si="39"/>
        <v>49578.800586873476</v>
      </c>
      <c r="E536" s="44">
        <f t="shared" si="37"/>
        <v>4131.5667155727897</v>
      </c>
      <c r="F536" s="44">
        <f t="shared" si="38"/>
        <v>1032.8916788931974</v>
      </c>
    </row>
    <row r="537" spans="1:6" ht="13.8" thickBot="1" x14ac:dyDescent="0.3">
      <c r="A537" s="169"/>
      <c r="B537" s="45">
        <v>3</v>
      </c>
      <c r="C537" s="43">
        <f t="shared" si="36"/>
        <v>414189.56323617219</v>
      </c>
      <c r="D537" s="43">
        <f t="shared" si="39"/>
        <v>49702.747588340659</v>
      </c>
      <c r="E537" s="44">
        <f t="shared" si="37"/>
        <v>4141.8956323617213</v>
      </c>
      <c r="F537" s="44">
        <f t="shared" si="38"/>
        <v>1035.4739080904303</v>
      </c>
    </row>
    <row r="538" spans="1:6" ht="13.8" thickBot="1" x14ac:dyDescent="0.3">
      <c r="A538" s="173"/>
      <c r="B538" s="45">
        <v>4</v>
      </c>
      <c r="C538" s="43">
        <f t="shared" si="36"/>
        <v>415225.03714426263</v>
      </c>
      <c r="D538" s="43">
        <f t="shared" si="39"/>
        <v>49827.004457311516</v>
      </c>
      <c r="E538" s="44">
        <f t="shared" si="37"/>
        <v>4152.2503714426266</v>
      </c>
      <c r="F538" s="44">
        <f t="shared" si="38"/>
        <v>1038.0625928606567</v>
      </c>
    </row>
    <row r="539" spans="1:6" ht="13.8" thickBot="1" x14ac:dyDescent="0.3">
      <c r="A539" s="172" t="s">
        <v>54</v>
      </c>
      <c r="B539" s="45">
        <v>1</v>
      </c>
      <c r="C539" s="43">
        <f t="shared" si="36"/>
        <v>416263.0997371233</v>
      </c>
      <c r="D539" s="43">
        <f t="shared" si="39"/>
        <v>49951.571968454795</v>
      </c>
      <c r="E539" s="44">
        <f t="shared" si="37"/>
        <v>4162.6309973712332</v>
      </c>
      <c r="F539" s="44">
        <f t="shared" si="38"/>
        <v>1040.6577493428083</v>
      </c>
    </row>
    <row r="540" spans="1:6" ht="13.8" thickBot="1" x14ac:dyDescent="0.3">
      <c r="A540" s="169"/>
      <c r="B540" s="45">
        <v>2</v>
      </c>
      <c r="C540" s="43">
        <f t="shared" si="36"/>
        <v>417303.75748646609</v>
      </c>
      <c r="D540" s="43">
        <f t="shared" si="39"/>
        <v>50076.45089837593</v>
      </c>
      <c r="E540" s="44">
        <f t="shared" si="37"/>
        <v>4173.0375748646611</v>
      </c>
      <c r="F540" s="44">
        <f t="shared" si="38"/>
        <v>1043.2593937161653</v>
      </c>
    </row>
    <row r="541" spans="1:6" ht="13.8" thickBot="1" x14ac:dyDescent="0.3">
      <c r="A541" s="169"/>
      <c r="B541" s="45">
        <v>3</v>
      </c>
      <c r="C541" s="43">
        <f t="shared" si="36"/>
        <v>418347.01688018226</v>
      </c>
      <c r="D541" s="43">
        <f t="shared" si="39"/>
        <v>50201.64202562187</v>
      </c>
      <c r="E541" s="44">
        <f t="shared" si="37"/>
        <v>4183.4701688018222</v>
      </c>
      <c r="F541" s="44">
        <f t="shared" si="38"/>
        <v>1045.8675422004555</v>
      </c>
    </row>
    <row r="542" spans="1:6" ht="13.8" thickBot="1" x14ac:dyDescent="0.3">
      <c r="A542" s="173"/>
      <c r="B542" s="45">
        <v>4</v>
      </c>
      <c r="C542" s="43">
        <f t="shared" si="36"/>
        <v>419392.88442238269</v>
      </c>
      <c r="D542" s="43">
        <f t="shared" si="39"/>
        <v>50327.14613068592</v>
      </c>
      <c r="E542" s="44">
        <f t="shared" si="37"/>
        <v>4193.9288442238267</v>
      </c>
      <c r="F542" s="44">
        <f t="shared" si="38"/>
        <v>1048.4822110559567</v>
      </c>
    </row>
    <row r="543" spans="1:6" ht="13.8" thickBot="1" x14ac:dyDescent="0.3">
      <c r="A543" s="172" t="s">
        <v>55</v>
      </c>
      <c r="B543" s="45">
        <v>1</v>
      </c>
      <c r="C543" s="43">
        <f t="shared" si="36"/>
        <v>420441.36663343862</v>
      </c>
      <c r="D543" s="43">
        <f t="shared" si="39"/>
        <v>50452.96399601263</v>
      </c>
      <c r="E543" s="44">
        <f t="shared" si="37"/>
        <v>4204.4136663343861</v>
      </c>
      <c r="F543" s="44">
        <f t="shared" si="38"/>
        <v>1051.1034165835965</v>
      </c>
    </row>
    <row r="544" spans="1:6" ht="13.8" thickBot="1" x14ac:dyDescent="0.3">
      <c r="A544" s="169"/>
      <c r="B544" s="45">
        <v>2</v>
      </c>
      <c r="C544" s="43">
        <f t="shared" si="36"/>
        <v>421492.47005002224</v>
      </c>
      <c r="D544" s="43">
        <f t="shared" si="39"/>
        <v>50579.096406002667</v>
      </c>
      <c r="E544" s="44">
        <f t="shared" si="37"/>
        <v>4214.9247005002226</v>
      </c>
      <c r="F544" s="44">
        <f t="shared" si="38"/>
        <v>1053.7311751250556</v>
      </c>
    </row>
    <row r="545" spans="1:6" ht="13.8" thickBot="1" x14ac:dyDescent="0.3">
      <c r="A545" s="169"/>
      <c r="B545" s="45">
        <v>3</v>
      </c>
      <c r="C545" s="43">
        <f t="shared" si="36"/>
        <v>422546.20122514729</v>
      </c>
      <c r="D545" s="43">
        <f t="shared" si="39"/>
        <v>50705.544147017674</v>
      </c>
      <c r="E545" s="44">
        <f t="shared" si="37"/>
        <v>4225.4620122514725</v>
      </c>
      <c r="F545" s="44">
        <f t="shared" si="38"/>
        <v>1056.3655030628681</v>
      </c>
    </row>
    <row r="546" spans="1:6" ht="13.8" thickBot="1" x14ac:dyDescent="0.3">
      <c r="A546" s="173"/>
      <c r="B546" s="45">
        <v>4</v>
      </c>
      <c r="C546" s="43">
        <f t="shared" si="36"/>
        <v>423602.56672821013</v>
      </c>
      <c r="D546" s="43">
        <f t="shared" si="39"/>
        <v>50832.308007385218</v>
      </c>
      <c r="E546" s="44">
        <f t="shared" si="37"/>
        <v>4236.0256672821015</v>
      </c>
      <c r="F546" s="44">
        <f t="shared" si="38"/>
        <v>1059.0064168205254</v>
      </c>
    </row>
    <row r="547" spans="1:6" ht="13.8" thickBot="1" x14ac:dyDescent="0.3">
      <c r="A547" s="172" t="s">
        <v>45</v>
      </c>
      <c r="B547" s="45">
        <v>1</v>
      </c>
      <c r="C547" s="43">
        <f t="shared" si="36"/>
        <v>424661.57314503065</v>
      </c>
      <c r="D547" s="43">
        <f t="shared" si="39"/>
        <v>50959.388777403678</v>
      </c>
      <c r="E547" s="44">
        <f t="shared" si="37"/>
        <v>4246.6157314503062</v>
      </c>
      <c r="F547" s="44">
        <f t="shared" si="38"/>
        <v>1061.6539328625765</v>
      </c>
    </row>
    <row r="548" spans="1:6" ht="13.8" thickBot="1" x14ac:dyDescent="0.3">
      <c r="A548" s="169"/>
      <c r="B548" s="45">
        <v>2</v>
      </c>
      <c r="C548" s="43">
        <f t="shared" si="36"/>
        <v>425723.22707789321</v>
      </c>
      <c r="D548" s="43">
        <f t="shared" si="39"/>
        <v>51086.78724934718</v>
      </c>
      <c r="E548" s="44">
        <f t="shared" si="37"/>
        <v>4257.2322707789317</v>
      </c>
      <c r="F548" s="44">
        <f t="shared" si="38"/>
        <v>1064.3080676947329</v>
      </c>
    </row>
    <row r="549" spans="1:6" ht="13.8" thickBot="1" x14ac:dyDescent="0.3">
      <c r="A549" s="169"/>
      <c r="B549" s="45">
        <v>3</v>
      </c>
      <c r="C549" s="43">
        <f t="shared" si="36"/>
        <v>426787.53514558793</v>
      </c>
      <c r="D549" s="43">
        <f t="shared" si="39"/>
        <v>51214.504217470552</v>
      </c>
      <c r="E549" s="44">
        <f t="shared" si="37"/>
        <v>4267.8753514558794</v>
      </c>
      <c r="F549" s="44">
        <f t="shared" si="38"/>
        <v>1066.9688378639698</v>
      </c>
    </row>
    <row r="550" spans="1:6" ht="13.8" thickBot="1" x14ac:dyDescent="0.3">
      <c r="A550" s="173"/>
      <c r="B550" s="45">
        <v>4</v>
      </c>
      <c r="C550" s="43">
        <f t="shared" si="36"/>
        <v>427854.50398345193</v>
      </c>
      <c r="D550" s="43">
        <f t="shared" si="39"/>
        <v>51342.540478014227</v>
      </c>
      <c r="E550" s="44">
        <f t="shared" si="37"/>
        <v>4278.5450398345192</v>
      </c>
      <c r="F550" s="44">
        <f t="shared" si="38"/>
        <v>1069.6362599586298</v>
      </c>
    </row>
    <row r="551" spans="1:6" ht="13.8" thickBot="1" x14ac:dyDescent="0.3">
      <c r="A551" s="172" t="s">
        <v>56</v>
      </c>
      <c r="B551" s="45">
        <v>1</v>
      </c>
      <c r="C551" s="43">
        <f t="shared" si="36"/>
        <v>428924.14024341054</v>
      </c>
      <c r="D551" s="43">
        <f t="shared" si="39"/>
        <v>51470.896829209261</v>
      </c>
      <c r="E551" s="44">
        <f t="shared" si="37"/>
        <v>4289.2414024341051</v>
      </c>
      <c r="F551" s="44">
        <f t="shared" si="38"/>
        <v>1072.3103506085263</v>
      </c>
    </row>
    <row r="552" spans="1:6" ht="13.8" thickBot="1" x14ac:dyDescent="0.3">
      <c r="A552" s="169"/>
      <c r="B552" s="45">
        <v>2</v>
      </c>
      <c r="C552" s="43">
        <f t="shared" si="36"/>
        <v>429996.45059401909</v>
      </c>
      <c r="D552" s="43">
        <f t="shared" si="39"/>
        <v>51599.574071282288</v>
      </c>
      <c r="E552" s="44">
        <f t="shared" si="37"/>
        <v>4299.964505940191</v>
      </c>
      <c r="F552" s="44">
        <f t="shared" si="38"/>
        <v>1074.9911264850477</v>
      </c>
    </row>
    <row r="553" spans="1:6" ht="13.8" thickBot="1" x14ac:dyDescent="0.3">
      <c r="A553" s="169"/>
      <c r="B553" s="45">
        <v>3</v>
      </c>
      <c r="C553" s="43">
        <f t="shared" si="36"/>
        <v>431071.44172050414</v>
      </c>
      <c r="D553" s="43">
        <f t="shared" si="39"/>
        <v>51728.573006460494</v>
      </c>
      <c r="E553" s="44">
        <f t="shared" si="37"/>
        <v>4310.7144172050412</v>
      </c>
      <c r="F553" s="44">
        <f t="shared" si="38"/>
        <v>1077.6786043012603</v>
      </c>
    </row>
    <row r="554" spans="1:6" ht="13.8" thickBot="1" x14ac:dyDescent="0.3">
      <c r="A554" s="173"/>
      <c r="B554" s="45">
        <v>4</v>
      </c>
      <c r="C554" s="43">
        <f t="shared" si="36"/>
        <v>432149.12032480538</v>
      </c>
      <c r="D554" s="43">
        <f t="shared" si="39"/>
        <v>51857.89443897664</v>
      </c>
      <c r="E554" s="44">
        <f t="shared" si="37"/>
        <v>4321.4912032480534</v>
      </c>
      <c r="F554" s="44">
        <f t="shared" si="38"/>
        <v>1080.3728008120133</v>
      </c>
    </row>
    <row r="555" spans="1:6" ht="13.8" thickBot="1" x14ac:dyDescent="0.3">
      <c r="A555" s="172" t="s">
        <v>57</v>
      </c>
      <c r="B555" s="45">
        <v>1</v>
      </c>
      <c r="C555" s="43">
        <f t="shared" si="36"/>
        <v>433229.49312561739</v>
      </c>
      <c r="D555" s="43">
        <f t="shared" si="39"/>
        <v>51987.539175074082</v>
      </c>
      <c r="E555" s="44">
        <f t="shared" si="37"/>
        <v>4332.2949312561732</v>
      </c>
      <c r="F555" s="44">
        <f t="shared" si="38"/>
        <v>1083.0737328140433</v>
      </c>
    </row>
    <row r="556" spans="1:6" ht="13.8" thickBot="1" x14ac:dyDescent="0.3">
      <c r="A556" s="169"/>
      <c r="B556" s="45">
        <v>2</v>
      </c>
      <c r="C556" s="43">
        <f t="shared" si="36"/>
        <v>434312.56685843144</v>
      </c>
      <c r="D556" s="43">
        <f t="shared" si="39"/>
        <v>52117.508023011767</v>
      </c>
      <c r="E556" s="44">
        <f t="shared" si="37"/>
        <v>4343.1256685843136</v>
      </c>
      <c r="F556" s="44">
        <f t="shared" si="38"/>
        <v>1085.7814171460784</v>
      </c>
    </row>
    <row r="557" spans="1:6" ht="13.8" thickBot="1" x14ac:dyDescent="0.3">
      <c r="A557" s="169"/>
      <c r="B557" s="45">
        <v>3</v>
      </c>
      <c r="C557" s="43">
        <f t="shared" si="36"/>
        <v>435398.34827557753</v>
      </c>
      <c r="D557" s="43">
        <f t="shared" si="39"/>
        <v>52247.801793069302</v>
      </c>
      <c r="E557" s="44">
        <f t="shared" si="37"/>
        <v>4353.9834827557752</v>
      </c>
      <c r="F557" s="44">
        <f t="shared" si="38"/>
        <v>1088.4958706889438</v>
      </c>
    </row>
    <row r="558" spans="1:6" ht="13.8" thickBot="1" x14ac:dyDescent="0.3">
      <c r="A558" s="174"/>
      <c r="B558" s="48">
        <v>4</v>
      </c>
      <c r="C558" s="49">
        <f t="shared" si="36"/>
        <v>436486.84414626646</v>
      </c>
      <c r="D558" s="43">
        <f t="shared" si="39"/>
        <v>52378.421297551977</v>
      </c>
      <c r="E558" s="50">
        <f t="shared" si="37"/>
        <v>4364.868441462665</v>
      </c>
      <c r="F558" s="50">
        <f t="shared" si="38"/>
        <v>1091.2171103656663</v>
      </c>
    </row>
    <row r="559" spans="1:6" ht="14.4" thickTop="1" thickBot="1" x14ac:dyDescent="0.3">
      <c r="A559" s="175" t="s">
        <v>62</v>
      </c>
      <c r="B559" s="47">
        <v>1</v>
      </c>
      <c r="C559" s="43">
        <f t="shared" si="36"/>
        <v>437578.06125663215</v>
      </c>
      <c r="D559" s="43">
        <f t="shared" si="39"/>
        <v>52509.367350795859</v>
      </c>
      <c r="E559" s="44">
        <f t="shared" si="37"/>
        <v>4375.7806125663219</v>
      </c>
      <c r="F559" s="44">
        <f t="shared" si="38"/>
        <v>1093.9451531415805</v>
      </c>
    </row>
    <row r="560" spans="1:6" ht="13.8" thickBot="1" x14ac:dyDescent="0.3">
      <c r="A560" s="169"/>
      <c r="B560" s="45">
        <v>2</v>
      </c>
      <c r="C560" s="43">
        <f t="shared" si="36"/>
        <v>438672.00640977372</v>
      </c>
      <c r="D560" s="43">
        <f t="shared" si="39"/>
        <v>52640.640769172845</v>
      </c>
      <c r="E560" s="44">
        <f t="shared" si="37"/>
        <v>4386.7200640977371</v>
      </c>
      <c r="F560" s="44">
        <f t="shared" si="38"/>
        <v>1096.6800160244343</v>
      </c>
    </row>
    <row r="561" spans="1:6" ht="13.8" thickBot="1" x14ac:dyDescent="0.3">
      <c r="A561" s="169"/>
      <c r="B561" s="45">
        <v>3</v>
      </c>
      <c r="C561" s="43">
        <f t="shared" si="36"/>
        <v>439768.68642579817</v>
      </c>
      <c r="D561" s="43">
        <f t="shared" si="39"/>
        <v>52772.242371095781</v>
      </c>
      <c r="E561" s="44">
        <f t="shared" si="37"/>
        <v>4397.6868642579821</v>
      </c>
      <c r="F561" s="44">
        <f t="shared" si="38"/>
        <v>1099.4217160644955</v>
      </c>
    </row>
    <row r="562" spans="1:6" ht="13.8" thickBot="1" x14ac:dyDescent="0.3">
      <c r="A562" s="173"/>
      <c r="B562" s="45">
        <v>4</v>
      </c>
      <c r="C562" s="43">
        <f t="shared" si="36"/>
        <v>440868.10814186267</v>
      </c>
      <c r="D562" s="43">
        <f t="shared" si="39"/>
        <v>52904.172977023518</v>
      </c>
      <c r="E562" s="44">
        <f t="shared" si="37"/>
        <v>4408.6810814186265</v>
      </c>
      <c r="F562" s="44">
        <f t="shared" si="38"/>
        <v>1102.1702703546566</v>
      </c>
    </row>
    <row r="563" spans="1:6" ht="13.8" thickBot="1" x14ac:dyDescent="0.3">
      <c r="A563" s="172" t="s">
        <v>63</v>
      </c>
      <c r="B563" s="45">
        <v>1</v>
      </c>
      <c r="C563" s="43">
        <f t="shared" si="36"/>
        <v>441970.27841221733</v>
      </c>
      <c r="D563" s="43">
        <f t="shared" si="39"/>
        <v>53036.433409466081</v>
      </c>
      <c r="E563" s="44">
        <f t="shared" si="37"/>
        <v>4419.7027841221734</v>
      </c>
      <c r="F563" s="44">
        <f t="shared" si="38"/>
        <v>1104.9256960305433</v>
      </c>
    </row>
    <row r="564" spans="1:6" ht="13.8" thickBot="1" x14ac:dyDescent="0.3">
      <c r="A564" s="169"/>
      <c r="B564" s="45">
        <v>2</v>
      </c>
      <c r="C564" s="43">
        <f t="shared" si="36"/>
        <v>443075.20410824788</v>
      </c>
      <c r="D564" s="43">
        <f t="shared" si="39"/>
        <v>53169.024492989745</v>
      </c>
      <c r="E564" s="44">
        <f t="shared" si="37"/>
        <v>4430.7520410824791</v>
      </c>
      <c r="F564" s="44">
        <f t="shared" si="38"/>
        <v>1107.6880102706198</v>
      </c>
    </row>
    <row r="565" spans="1:6" ht="13.8" thickBot="1" x14ac:dyDescent="0.3">
      <c r="A565" s="169"/>
      <c r="B565" s="45">
        <v>3</v>
      </c>
      <c r="C565" s="43">
        <f t="shared" si="36"/>
        <v>444182.89211851847</v>
      </c>
      <c r="D565" s="43">
        <f t="shared" si="39"/>
        <v>53301.947054222212</v>
      </c>
      <c r="E565" s="44">
        <f t="shared" si="37"/>
        <v>4441.8289211851843</v>
      </c>
      <c r="F565" s="44">
        <f t="shared" si="38"/>
        <v>1110.4572302962961</v>
      </c>
    </row>
    <row r="566" spans="1:6" ht="13.8" thickBot="1" x14ac:dyDescent="0.3">
      <c r="A566" s="173"/>
      <c r="B566" s="45">
        <v>4</v>
      </c>
      <c r="C566" s="43">
        <f t="shared" si="36"/>
        <v>445293.34934881475</v>
      </c>
      <c r="D566" s="43">
        <f t="shared" si="39"/>
        <v>53435.20192185777</v>
      </c>
      <c r="E566" s="44">
        <f t="shared" si="37"/>
        <v>4452.9334934881472</v>
      </c>
      <c r="F566" s="44">
        <f t="shared" si="38"/>
        <v>1113.2333733720368</v>
      </c>
    </row>
    <row r="567" spans="1:6" ht="13.8" thickBot="1" x14ac:dyDescent="0.3">
      <c r="A567" s="172" t="s">
        <v>64</v>
      </c>
      <c r="B567" s="45">
        <v>1</v>
      </c>
      <c r="C567" s="43">
        <f t="shared" ref="C567:C630" si="40">IF(B567=1,C566+F566+$B$3,C566+F566)</f>
        <v>446406.58272218681</v>
      </c>
      <c r="D567" s="43">
        <f t="shared" si="39"/>
        <v>53568.789926662415</v>
      </c>
      <c r="E567" s="44">
        <f t="shared" si="37"/>
        <v>4464.0658272218679</v>
      </c>
      <c r="F567" s="44">
        <f t="shared" si="38"/>
        <v>1116.016456805467</v>
      </c>
    </row>
    <row r="568" spans="1:6" ht="13.8" thickBot="1" x14ac:dyDescent="0.3">
      <c r="A568" s="169"/>
      <c r="B568" s="45">
        <v>2</v>
      </c>
      <c r="C568" s="43">
        <f t="shared" si="40"/>
        <v>447522.59917899227</v>
      </c>
      <c r="D568" s="43">
        <f t="shared" si="39"/>
        <v>53702.711901479073</v>
      </c>
      <c r="E568" s="44">
        <f t="shared" si="37"/>
        <v>4475.2259917899228</v>
      </c>
      <c r="F568" s="44">
        <f t="shared" si="38"/>
        <v>1118.8064979474807</v>
      </c>
    </row>
    <row r="569" spans="1:6" ht="13.8" thickBot="1" x14ac:dyDescent="0.3">
      <c r="A569" s="169"/>
      <c r="B569" s="45">
        <v>3</v>
      </c>
      <c r="C569" s="43">
        <f t="shared" si="40"/>
        <v>448641.40567693976</v>
      </c>
      <c r="D569" s="43">
        <f t="shared" si="39"/>
        <v>53836.968681232771</v>
      </c>
      <c r="E569" s="44">
        <f t="shared" si="37"/>
        <v>4486.4140567693976</v>
      </c>
      <c r="F569" s="44">
        <f t="shared" si="38"/>
        <v>1121.6035141923494</v>
      </c>
    </row>
    <row r="570" spans="1:6" ht="13.8" thickBot="1" x14ac:dyDescent="0.3">
      <c r="A570" s="173"/>
      <c r="B570" s="45">
        <v>4</v>
      </c>
      <c r="C570" s="43">
        <f t="shared" si="40"/>
        <v>449763.00919113209</v>
      </c>
      <c r="D570" s="43">
        <f t="shared" si="39"/>
        <v>53971.561102935848</v>
      </c>
      <c r="E570" s="44">
        <f t="shared" si="37"/>
        <v>4497.630091911321</v>
      </c>
      <c r="F570" s="44">
        <f t="shared" si="38"/>
        <v>1124.4075229778302</v>
      </c>
    </row>
    <row r="571" spans="1:6" ht="13.8" thickBot="1" x14ac:dyDescent="0.3">
      <c r="A571" s="172" t="s">
        <v>65</v>
      </c>
      <c r="B571" s="45">
        <v>1</v>
      </c>
      <c r="C571" s="43">
        <f t="shared" si="40"/>
        <v>450887.41671410995</v>
      </c>
      <c r="D571" s="43">
        <f t="shared" si="39"/>
        <v>54106.490005693195</v>
      </c>
      <c r="E571" s="44">
        <f t="shared" si="37"/>
        <v>4508.8741671410999</v>
      </c>
      <c r="F571" s="44">
        <f t="shared" si="38"/>
        <v>1127.218541785275</v>
      </c>
    </row>
    <row r="572" spans="1:6" ht="13.8" thickBot="1" x14ac:dyDescent="0.3">
      <c r="A572" s="169"/>
      <c r="B572" s="45">
        <v>2</v>
      </c>
      <c r="C572" s="43">
        <f t="shared" si="40"/>
        <v>452014.63525589521</v>
      </c>
      <c r="D572" s="43">
        <f t="shared" si="39"/>
        <v>54241.756230707426</v>
      </c>
      <c r="E572" s="44">
        <f t="shared" si="37"/>
        <v>4520.1463525589525</v>
      </c>
      <c r="F572" s="44">
        <f t="shared" si="38"/>
        <v>1130.0365881397381</v>
      </c>
    </row>
    <row r="573" spans="1:6" ht="13.8" thickBot="1" x14ac:dyDescent="0.3">
      <c r="A573" s="169"/>
      <c r="B573" s="45">
        <v>3</v>
      </c>
      <c r="C573" s="43">
        <f t="shared" si="40"/>
        <v>453144.67184403492</v>
      </c>
      <c r="D573" s="43">
        <f t="shared" si="39"/>
        <v>54377.360621284191</v>
      </c>
      <c r="E573" s="44">
        <f t="shared" si="37"/>
        <v>4531.4467184403493</v>
      </c>
      <c r="F573" s="44">
        <f t="shared" si="38"/>
        <v>1132.8616796100873</v>
      </c>
    </row>
    <row r="574" spans="1:6" ht="13.8" thickBot="1" x14ac:dyDescent="0.3">
      <c r="A574" s="173"/>
      <c r="B574" s="45">
        <v>4</v>
      </c>
      <c r="C574" s="43">
        <f t="shared" si="40"/>
        <v>454277.53352364502</v>
      </c>
      <c r="D574" s="43">
        <f t="shared" si="39"/>
        <v>54513.304022837401</v>
      </c>
      <c r="E574" s="44">
        <f t="shared" si="37"/>
        <v>4542.7753352364498</v>
      </c>
      <c r="F574" s="44">
        <f t="shared" si="38"/>
        <v>1135.6938338091124</v>
      </c>
    </row>
    <row r="575" spans="1:6" ht="13.8" thickBot="1" x14ac:dyDescent="0.3">
      <c r="A575" s="172" t="s">
        <v>66</v>
      </c>
      <c r="B575" s="45">
        <v>1</v>
      </c>
      <c r="C575" s="43">
        <f t="shared" si="40"/>
        <v>455413.22735745413</v>
      </c>
      <c r="D575" s="43">
        <f t="shared" si="39"/>
        <v>54649.587282894492</v>
      </c>
      <c r="E575" s="44">
        <f t="shared" si="37"/>
        <v>4554.1322735745407</v>
      </c>
      <c r="F575" s="44">
        <f t="shared" si="38"/>
        <v>1138.5330683936352</v>
      </c>
    </row>
    <row r="576" spans="1:6" ht="13.8" thickBot="1" x14ac:dyDescent="0.3">
      <c r="A576" s="169"/>
      <c r="B576" s="45">
        <v>2</v>
      </c>
      <c r="C576" s="43">
        <f t="shared" si="40"/>
        <v>456551.76042584778</v>
      </c>
      <c r="D576" s="43">
        <f t="shared" si="39"/>
        <v>54786.211251101733</v>
      </c>
      <c r="E576" s="44">
        <f t="shared" si="37"/>
        <v>4565.5176042584781</v>
      </c>
      <c r="F576" s="44">
        <f t="shared" si="38"/>
        <v>1141.3794010646195</v>
      </c>
    </row>
    <row r="577" spans="1:6" ht="13.8" thickBot="1" x14ac:dyDescent="0.3">
      <c r="A577" s="169"/>
      <c r="B577" s="45">
        <v>3</v>
      </c>
      <c r="C577" s="43">
        <f t="shared" si="40"/>
        <v>457693.13982691237</v>
      </c>
      <c r="D577" s="43">
        <f t="shared" si="39"/>
        <v>54923.176779229485</v>
      </c>
      <c r="E577" s="44">
        <f t="shared" si="37"/>
        <v>4576.9313982691237</v>
      </c>
      <c r="F577" s="44">
        <f t="shared" si="38"/>
        <v>1144.2328495672809</v>
      </c>
    </row>
    <row r="578" spans="1:6" ht="13.8" thickBot="1" x14ac:dyDescent="0.3">
      <c r="A578" s="173"/>
      <c r="B578" s="45">
        <v>4</v>
      </c>
      <c r="C578" s="43">
        <f t="shared" si="40"/>
        <v>458837.37267647963</v>
      </c>
      <c r="D578" s="43">
        <f t="shared" si="39"/>
        <v>55060.484721177556</v>
      </c>
      <c r="E578" s="44">
        <f t="shared" si="37"/>
        <v>4588.3737267647966</v>
      </c>
      <c r="F578" s="44">
        <f t="shared" si="38"/>
        <v>1147.0934316911992</v>
      </c>
    </row>
    <row r="579" spans="1:6" ht="13.8" thickBot="1" x14ac:dyDescent="0.3">
      <c r="A579" s="172" t="s">
        <v>67</v>
      </c>
      <c r="B579" s="45">
        <v>1</v>
      </c>
      <c r="C579" s="43">
        <f t="shared" si="40"/>
        <v>459984.4661081708</v>
      </c>
      <c r="D579" s="43">
        <f t="shared" si="39"/>
        <v>55198.135932980491</v>
      </c>
      <c r="E579" s="44">
        <f t="shared" si="37"/>
        <v>4599.8446610817073</v>
      </c>
      <c r="F579" s="44">
        <f t="shared" si="38"/>
        <v>1149.9611652704268</v>
      </c>
    </row>
    <row r="580" spans="1:6" ht="13.8" thickBot="1" x14ac:dyDescent="0.3">
      <c r="A580" s="169"/>
      <c r="B580" s="45">
        <v>2</v>
      </c>
      <c r="C580" s="43">
        <f t="shared" si="40"/>
        <v>461134.42727344122</v>
      </c>
      <c r="D580" s="43">
        <f t="shared" si="39"/>
        <v>55336.131272812941</v>
      </c>
      <c r="E580" s="44">
        <f t="shared" si="37"/>
        <v>4611.3442727344118</v>
      </c>
      <c r="F580" s="44">
        <f t="shared" si="38"/>
        <v>1152.8360681836029</v>
      </c>
    </row>
    <row r="581" spans="1:6" ht="13.8" thickBot="1" x14ac:dyDescent="0.3">
      <c r="A581" s="169"/>
      <c r="B581" s="45">
        <v>3</v>
      </c>
      <c r="C581" s="43">
        <f t="shared" si="40"/>
        <v>462287.26334162481</v>
      </c>
      <c r="D581" s="43">
        <f t="shared" si="39"/>
        <v>55474.471600994977</v>
      </c>
      <c r="E581" s="44">
        <f t="shared" si="37"/>
        <v>4622.8726334162484</v>
      </c>
      <c r="F581" s="44">
        <f t="shared" si="38"/>
        <v>1155.7181583540621</v>
      </c>
    </row>
    <row r="582" spans="1:6" ht="13.8" thickBot="1" x14ac:dyDescent="0.3">
      <c r="A582" s="173"/>
      <c r="B582" s="45">
        <v>4</v>
      </c>
      <c r="C582" s="43">
        <f t="shared" si="40"/>
        <v>463442.98149997887</v>
      </c>
      <c r="D582" s="43">
        <f t="shared" si="39"/>
        <v>55613.157779997462</v>
      </c>
      <c r="E582" s="44">
        <f t="shared" ref="E582:E645" si="41">D582/12</f>
        <v>4634.4298149997885</v>
      </c>
      <c r="F582" s="44">
        <f t="shared" ref="F582:F645" si="42">E582/4</f>
        <v>1158.6074537499471</v>
      </c>
    </row>
    <row r="583" spans="1:6" ht="13.8" thickBot="1" x14ac:dyDescent="0.3">
      <c r="A583" s="172" t="s">
        <v>68</v>
      </c>
      <c r="B583" s="45">
        <v>1</v>
      </c>
      <c r="C583" s="43">
        <f t="shared" si="40"/>
        <v>464601.58895372879</v>
      </c>
      <c r="D583" s="43">
        <f t="shared" ref="D583:D646" si="43">C583*$F$2</f>
        <v>55752.190674447455</v>
      </c>
      <c r="E583" s="44">
        <f t="shared" si="41"/>
        <v>4646.0158895372879</v>
      </c>
      <c r="F583" s="44">
        <f t="shared" si="42"/>
        <v>1161.503972384322</v>
      </c>
    </row>
    <row r="584" spans="1:6" ht="13.8" thickBot="1" x14ac:dyDescent="0.3">
      <c r="A584" s="169"/>
      <c r="B584" s="45">
        <v>2</v>
      </c>
      <c r="C584" s="43">
        <f t="shared" si="40"/>
        <v>465763.09292611311</v>
      </c>
      <c r="D584" s="43">
        <f t="shared" si="43"/>
        <v>55891.571151133568</v>
      </c>
      <c r="E584" s="44">
        <f t="shared" si="41"/>
        <v>4657.6309292611304</v>
      </c>
      <c r="F584" s="44">
        <f t="shared" si="42"/>
        <v>1164.4077323152826</v>
      </c>
    </row>
    <row r="585" spans="1:6" ht="13.8" thickBot="1" x14ac:dyDescent="0.3">
      <c r="A585" s="169"/>
      <c r="B585" s="45">
        <v>3</v>
      </c>
      <c r="C585" s="43">
        <f t="shared" si="40"/>
        <v>466927.50065842841</v>
      </c>
      <c r="D585" s="43">
        <f t="shared" si="43"/>
        <v>56031.300079011409</v>
      </c>
      <c r="E585" s="44">
        <f t="shared" si="41"/>
        <v>4669.2750065842838</v>
      </c>
      <c r="F585" s="44">
        <f t="shared" si="42"/>
        <v>1167.318751646071</v>
      </c>
    </row>
    <row r="586" spans="1:6" ht="13.8" thickBot="1" x14ac:dyDescent="0.3">
      <c r="A586" s="173"/>
      <c r="B586" s="45">
        <v>4</v>
      </c>
      <c r="C586" s="43">
        <f t="shared" si="40"/>
        <v>468094.8194100745</v>
      </c>
      <c r="D586" s="43">
        <f t="shared" si="43"/>
        <v>56171.378329208936</v>
      </c>
      <c r="E586" s="44">
        <f t="shared" si="41"/>
        <v>4680.9481941007443</v>
      </c>
      <c r="F586" s="44">
        <f t="shared" si="42"/>
        <v>1170.2370485251861</v>
      </c>
    </row>
    <row r="587" spans="1:6" ht="13.8" thickBot="1" x14ac:dyDescent="0.3">
      <c r="A587" s="172" t="s">
        <v>61</v>
      </c>
      <c r="B587" s="45">
        <v>1</v>
      </c>
      <c r="C587" s="43">
        <f t="shared" si="40"/>
        <v>469265.05645859969</v>
      </c>
      <c r="D587" s="43">
        <f t="shared" si="43"/>
        <v>56311.806775031961</v>
      </c>
      <c r="E587" s="44">
        <f t="shared" si="41"/>
        <v>4692.650564585997</v>
      </c>
      <c r="F587" s="44">
        <f t="shared" si="42"/>
        <v>1173.1626411464993</v>
      </c>
    </row>
    <row r="588" spans="1:6" ht="13.8" thickBot="1" x14ac:dyDescent="0.3">
      <c r="A588" s="169"/>
      <c r="B588" s="45">
        <v>2</v>
      </c>
      <c r="C588" s="43">
        <f t="shared" si="40"/>
        <v>470438.2190997462</v>
      </c>
      <c r="D588" s="43">
        <f t="shared" si="43"/>
        <v>56452.586291969543</v>
      </c>
      <c r="E588" s="44">
        <f t="shared" si="41"/>
        <v>4704.3821909974622</v>
      </c>
      <c r="F588" s="44">
        <f t="shared" si="42"/>
        <v>1176.0955477493656</v>
      </c>
    </row>
    <row r="589" spans="1:6" ht="13.8" thickBot="1" x14ac:dyDescent="0.3">
      <c r="A589" s="169"/>
      <c r="B589" s="45">
        <v>3</v>
      </c>
      <c r="C589" s="43">
        <f t="shared" si="40"/>
        <v>471614.31464749557</v>
      </c>
      <c r="D589" s="43">
        <f t="shared" si="43"/>
        <v>56593.717757699465</v>
      </c>
      <c r="E589" s="44">
        <f t="shared" si="41"/>
        <v>4716.1431464749558</v>
      </c>
      <c r="F589" s="44">
        <f t="shared" si="42"/>
        <v>1179.0357866187389</v>
      </c>
    </row>
    <row r="590" spans="1:6" ht="13.8" thickBot="1" x14ac:dyDescent="0.3">
      <c r="A590" s="173"/>
      <c r="B590" s="45">
        <v>4</v>
      </c>
      <c r="C590" s="43">
        <f t="shared" si="40"/>
        <v>472793.35043411428</v>
      </c>
      <c r="D590" s="43">
        <f t="shared" si="43"/>
        <v>56735.202052093715</v>
      </c>
      <c r="E590" s="44">
        <f t="shared" si="41"/>
        <v>4727.9335043411429</v>
      </c>
      <c r="F590" s="44">
        <f t="shared" si="42"/>
        <v>1181.9833760852857</v>
      </c>
    </row>
    <row r="591" spans="1:6" ht="13.8" thickBot="1" x14ac:dyDescent="0.3">
      <c r="A591" s="172" t="s">
        <v>60</v>
      </c>
      <c r="B591" s="45">
        <v>1</v>
      </c>
      <c r="C591" s="43">
        <f t="shared" si="40"/>
        <v>473975.33381019958</v>
      </c>
      <c r="D591" s="43">
        <f t="shared" si="43"/>
        <v>56877.040057223945</v>
      </c>
      <c r="E591" s="44">
        <f t="shared" si="41"/>
        <v>4739.7533381019957</v>
      </c>
      <c r="F591" s="44">
        <f t="shared" si="42"/>
        <v>1184.9383345254989</v>
      </c>
    </row>
    <row r="592" spans="1:6" ht="13.8" thickBot="1" x14ac:dyDescent="0.3">
      <c r="A592" s="169"/>
      <c r="B592" s="45">
        <v>2</v>
      </c>
      <c r="C592" s="43">
        <f t="shared" si="40"/>
        <v>475160.27214472508</v>
      </c>
      <c r="D592" s="43">
        <f t="shared" si="43"/>
        <v>57019.232657367007</v>
      </c>
      <c r="E592" s="44">
        <f t="shared" si="41"/>
        <v>4751.6027214472506</v>
      </c>
      <c r="F592" s="44">
        <f t="shared" si="42"/>
        <v>1187.9006803618126</v>
      </c>
    </row>
    <row r="593" spans="1:6" ht="13.8" thickBot="1" x14ac:dyDescent="0.3">
      <c r="A593" s="169"/>
      <c r="B593" s="45">
        <v>3</v>
      </c>
      <c r="C593" s="43">
        <f t="shared" si="40"/>
        <v>476348.17282508692</v>
      </c>
      <c r="D593" s="43">
        <f t="shared" si="43"/>
        <v>57161.780739010428</v>
      </c>
      <c r="E593" s="44">
        <f t="shared" si="41"/>
        <v>4763.4817282508693</v>
      </c>
      <c r="F593" s="44">
        <f t="shared" si="42"/>
        <v>1190.8704320627173</v>
      </c>
    </row>
    <row r="594" spans="1:6" ht="13.8" thickBot="1" x14ac:dyDescent="0.3">
      <c r="A594" s="173"/>
      <c r="B594" s="45">
        <v>4</v>
      </c>
      <c r="C594" s="43">
        <f t="shared" si="40"/>
        <v>477539.04325714963</v>
      </c>
      <c r="D594" s="43">
        <f t="shared" si="43"/>
        <v>57304.685190857956</v>
      </c>
      <c r="E594" s="44">
        <f t="shared" si="41"/>
        <v>4775.3904325714966</v>
      </c>
      <c r="F594" s="44">
        <f t="shared" si="42"/>
        <v>1193.8476081428742</v>
      </c>
    </row>
    <row r="595" spans="1:6" ht="13.8" thickBot="1" x14ac:dyDescent="0.3">
      <c r="A595" s="172" t="s">
        <v>59</v>
      </c>
      <c r="B595" s="45">
        <v>1</v>
      </c>
      <c r="C595" s="43">
        <f t="shared" si="40"/>
        <v>478732.89086529252</v>
      </c>
      <c r="D595" s="43">
        <f t="shared" si="43"/>
        <v>57447.946903835102</v>
      </c>
      <c r="E595" s="44">
        <f t="shared" si="41"/>
        <v>4787.3289086529248</v>
      </c>
      <c r="F595" s="44">
        <f t="shared" si="42"/>
        <v>1196.8322271632312</v>
      </c>
    </row>
    <row r="596" spans="1:6" ht="13.8" thickBot="1" x14ac:dyDescent="0.3">
      <c r="A596" s="169"/>
      <c r="B596" s="45">
        <v>2</v>
      </c>
      <c r="C596" s="43">
        <f t="shared" si="40"/>
        <v>479929.72309245577</v>
      </c>
      <c r="D596" s="43">
        <f t="shared" si="43"/>
        <v>57591.566771094687</v>
      </c>
      <c r="E596" s="44">
        <f t="shared" si="41"/>
        <v>4799.297230924557</v>
      </c>
      <c r="F596" s="44">
        <f t="shared" si="42"/>
        <v>1199.8243077311392</v>
      </c>
    </row>
    <row r="597" spans="1:6" ht="13.8" thickBot="1" x14ac:dyDescent="0.3">
      <c r="A597" s="169"/>
      <c r="B597" s="45">
        <v>3</v>
      </c>
      <c r="C597" s="43">
        <f t="shared" si="40"/>
        <v>481129.54740018689</v>
      </c>
      <c r="D597" s="43">
        <f t="shared" si="43"/>
        <v>57735.545688022423</v>
      </c>
      <c r="E597" s="44">
        <f t="shared" si="41"/>
        <v>4811.2954740018686</v>
      </c>
      <c r="F597" s="44">
        <f t="shared" si="42"/>
        <v>1202.8238685004671</v>
      </c>
    </row>
    <row r="598" spans="1:6" ht="13.8" thickBot="1" x14ac:dyDescent="0.3">
      <c r="A598" s="173"/>
      <c r="B598" s="45">
        <v>4</v>
      </c>
      <c r="C598" s="43">
        <f t="shared" si="40"/>
        <v>482332.37126868736</v>
      </c>
      <c r="D598" s="43">
        <f t="shared" si="43"/>
        <v>57879.884552242482</v>
      </c>
      <c r="E598" s="44">
        <f t="shared" si="41"/>
        <v>4823.3237126868735</v>
      </c>
      <c r="F598" s="44">
        <f t="shared" si="42"/>
        <v>1205.8309281717184</v>
      </c>
    </row>
    <row r="599" spans="1:6" ht="13.8" thickBot="1" x14ac:dyDescent="0.3">
      <c r="A599" s="172" t="s">
        <v>58</v>
      </c>
      <c r="B599" s="45">
        <v>1</v>
      </c>
      <c r="C599" s="43">
        <f t="shared" si="40"/>
        <v>483538.20219685906</v>
      </c>
      <c r="D599" s="43">
        <f t="shared" si="43"/>
        <v>58024.584263623088</v>
      </c>
      <c r="E599" s="44">
        <f t="shared" si="41"/>
        <v>4835.3820219685904</v>
      </c>
      <c r="F599" s="44">
        <f t="shared" si="42"/>
        <v>1208.8455054921476</v>
      </c>
    </row>
    <row r="600" spans="1:6" ht="13.8" thickBot="1" x14ac:dyDescent="0.3">
      <c r="A600" s="169"/>
      <c r="B600" s="45">
        <v>2</v>
      </c>
      <c r="C600" s="43">
        <f t="shared" si="40"/>
        <v>484747.04770235118</v>
      </c>
      <c r="D600" s="43">
        <f t="shared" si="43"/>
        <v>58169.645724282142</v>
      </c>
      <c r="E600" s="44">
        <f t="shared" si="41"/>
        <v>4847.4704770235121</v>
      </c>
      <c r="F600" s="44">
        <f t="shared" si="42"/>
        <v>1211.867619255878</v>
      </c>
    </row>
    <row r="601" spans="1:6" ht="13.8" thickBot="1" x14ac:dyDescent="0.3">
      <c r="A601" s="169"/>
      <c r="B601" s="45">
        <v>3</v>
      </c>
      <c r="C601" s="43">
        <f t="shared" si="40"/>
        <v>485958.91532160708</v>
      </c>
      <c r="D601" s="43">
        <f t="shared" si="43"/>
        <v>58315.069838592848</v>
      </c>
      <c r="E601" s="44">
        <f t="shared" si="41"/>
        <v>4859.5891532160704</v>
      </c>
      <c r="F601" s="44">
        <f t="shared" si="42"/>
        <v>1214.8972883040176</v>
      </c>
    </row>
    <row r="602" spans="1:6" ht="13.8" thickBot="1" x14ac:dyDescent="0.3">
      <c r="A602" s="173"/>
      <c r="B602" s="45">
        <v>4</v>
      </c>
      <c r="C602" s="43">
        <f t="shared" si="40"/>
        <v>487173.81260991108</v>
      </c>
      <c r="D602" s="43">
        <f t="shared" si="43"/>
        <v>58460.85751318933</v>
      </c>
      <c r="E602" s="44">
        <f t="shared" si="41"/>
        <v>4871.7381260991106</v>
      </c>
      <c r="F602" s="44">
        <f t="shared" si="42"/>
        <v>1217.9345315247776</v>
      </c>
    </row>
    <row r="603" spans="1:6" ht="13.8" thickBot="1" x14ac:dyDescent="0.3">
      <c r="A603" s="172" t="s">
        <v>57</v>
      </c>
      <c r="B603" s="45">
        <v>1</v>
      </c>
      <c r="C603" s="43">
        <f t="shared" si="40"/>
        <v>488391.74714143586</v>
      </c>
      <c r="D603" s="43">
        <f t="shared" si="43"/>
        <v>58607.009656972303</v>
      </c>
      <c r="E603" s="44">
        <f t="shared" si="41"/>
        <v>4883.9174714143583</v>
      </c>
      <c r="F603" s="44">
        <f t="shared" si="42"/>
        <v>1220.9793678535896</v>
      </c>
    </row>
    <row r="604" spans="1:6" ht="13.8" thickBot="1" x14ac:dyDescent="0.3">
      <c r="A604" s="169"/>
      <c r="B604" s="45">
        <v>2</v>
      </c>
      <c r="C604" s="43">
        <f t="shared" si="40"/>
        <v>489612.72650928947</v>
      </c>
      <c r="D604" s="43">
        <f t="shared" si="43"/>
        <v>58753.527181114732</v>
      </c>
      <c r="E604" s="44">
        <f t="shared" si="41"/>
        <v>4896.127265092894</v>
      </c>
      <c r="F604" s="44">
        <f t="shared" si="42"/>
        <v>1224.0318162732235</v>
      </c>
    </row>
    <row r="605" spans="1:6" ht="13.8" thickBot="1" x14ac:dyDescent="0.3">
      <c r="A605" s="169"/>
      <c r="B605" s="45">
        <v>3</v>
      </c>
      <c r="C605" s="43">
        <f t="shared" si="40"/>
        <v>490836.7583255627</v>
      </c>
      <c r="D605" s="43">
        <f t="shared" si="43"/>
        <v>58900.410999067521</v>
      </c>
      <c r="E605" s="44">
        <f t="shared" si="41"/>
        <v>4908.3675832556264</v>
      </c>
      <c r="F605" s="44">
        <f t="shared" si="42"/>
        <v>1227.0918958139066</v>
      </c>
    </row>
    <row r="606" spans="1:6" ht="13.8" thickBot="1" x14ac:dyDescent="0.3">
      <c r="A606" s="174"/>
      <c r="B606" s="48">
        <v>4</v>
      </c>
      <c r="C606" s="49">
        <f t="shared" si="40"/>
        <v>492063.85022137658</v>
      </c>
      <c r="D606" s="43">
        <f t="shared" si="43"/>
        <v>59047.662026565187</v>
      </c>
      <c r="E606" s="50">
        <f t="shared" si="41"/>
        <v>4920.6385022137656</v>
      </c>
      <c r="F606" s="50">
        <f t="shared" si="42"/>
        <v>1230.1596255534414</v>
      </c>
    </row>
    <row r="607" spans="1:6" ht="14.4" thickTop="1" thickBot="1" x14ac:dyDescent="0.3">
      <c r="A607" s="175" t="s">
        <v>70</v>
      </c>
      <c r="B607" s="47">
        <v>1</v>
      </c>
      <c r="C607" s="43">
        <f t="shared" si="40"/>
        <v>493294.00984693004</v>
      </c>
      <c r="D607" s="43">
        <f t="shared" si="43"/>
        <v>59195.281181631603</v>
      </c>
      <c r="E607" s="44">
        <f t="shared" si="41"/>
        <v>4932.9400984693002</v>
      </c>
      <c r="F607" s="44">
        <f t="shared" si="42"/>
        <v>1233.2350246173251</v>
      </c>
    </row>
    <row r="608" spans="1:6" ht="13.8" thickBot="1" x14ac:dyDescent="0.3">
      <c r="A608" s="169"/>
      <c r="B608" s="45">
        <v>2</v>
      </c>
      <c r="C608" s="43">
        <f t="shared" si="40"/>
        <v>494527.24487154739</v>
      </c>
      <c r="D608" s="43">
        <f t="shared" si="43"/>
        <v>59343.269384585685</v>
      </c>
      <c r="E608" s="44">
        <f t="shared" si="41"/>
        <v>4945.2724487154737</v>
      </c>
      <c r="F608" s="44">
        <f t="shared" si="42"/>
        <v>1236.3181121788684</v>
      </c>
    </row>
    <row r="609" spans="1:6" ht="13.8" thickBot="1" x14ac:dyDescent="0.3">
      <c r="A609" s="169"/>
      <c r="B609" s="45">
        <v>3</v>
      </c>
      <c r="C609" s="43">
        <f t="shared" si="40"/>
        <v>495763.56298372627</v>
      </c>
      <c r="D609" s="43">
        <f t="shared" si="43"/>
        <v>59491.627558047148</v>
      </c>
      <c r="E609" s="44">
        <f t="shared" si="41"/>
        <v>4957.6356298372621</v>
      </c>
      <c r="F609" s="44">
        <f t="shared" si="42"/>
        <v>1239.4089074593155</v>
      </c>
    </row>
    <row r="610" spans="1:6" ht="13.8" thickBot="1" x14ac:dyDescent="0.3">
      <c r="A610" s="173"/>
      <c r="B610" s="45">
        <v>4</v>
      </c>
      <c r="C610" s="43">
        <f t="shared" si="40"/>
        <v>497002.97189118556</v>
      </c>
      <c r="D610" s="43">
        <f t="shared" si="43"/>
        <v>59640.356626942266</v>
      </c>
      <c r="E610" s="44">
        <f t="shared" si="41"/>
        <v>4970.0297189118555</v>
      </c>
      <c r="F610" s="44">
        <f t="shared" si="42"/>
        <v>1242.5074297279639</v>
      </c>
    </row>
    <row r="611" spans="1:6" ht="13.8" thickBot="1" x14ac:dyDescent="0.3">
      <c r="A611" s="172" t="s">
        <v>71</v>
      </c>
      <c r="B611" s="45">
        <v>1</v>
      </c>
      <c r="C611" s="43">
        <f t="shared" si="40"/>
        <v>498245.4793209135</v>
      </c>
      <c r="D611" s="43">
        <f t="shared" si="43"/>
        <v>59789.457518509618</v>
      </c>
      <c r="E611" s="44">
        <f t="shared" si="41"/>
        <v>4982.4547932091346</v>
      </c>
      <c r="F611" s="44">
        <f t="shared" si="42"/>
        <v>1245.6136983022836</v>
      </c>
    </row>
    <row r="612" spans="1:6" ht="13.8" thickBot="1" x14ac:dyDescent="0.3">
      <c r="A612" s="169"/>
      <c r="B612" s="45">
        <v>2</v>
      </c>
      <c r="C612" s="43">
        <f t="shared" si="40"/>
        <v>499491.0930192158</v>
      </c>
      <c r="D612" s="43">
        <f t="shared" si="43"/>
        <v>59938.931162305897</v>
      </c>
      <c r="E612" s="44">
        <f t="shared" si="41"/>
        <v>4994.910930192158</v>
      </c>
      <c r="F612" s="44">
        <f t="shared" si="42"/>
        <v>1248.7277325480395</v>
      </c>
    </row>
    <row r="613" spans="1:6" ht="13.8" thickBot="1" x14ac:dyDescent="0.3">
      <c r="A613" s="169"/>
      <c r="B613" s="45">
        <v>3</v>
      </c>
      <c r="C613" s="43">
        <f t="shared" si="40"/>
        <v>500739.82075176382</v>
      </c>
      <c r="D613" s="43">
        <f t="shared" si="43"/>
        <v>60088.778490211655</v>
      </c>
      <c r="E613" s="44">
        <f t="shared" si="41"/>
        <v>5007.3982075176382</v>
      </c>
      <c r="F613" s="44">
        <f t="shared" si="42"/>
        <v>1251.8495518794095</v>
      </c>
    </row>
    <row r="614" spans="1:6" ht="13.8" thickBot="1" x14ac:dyDescent="0.3">
      <c r="A614" s="173"/>
      <c r="B614" s="45">
        <v>4</v>
      </c>
      <c r="C614" s="43">
        <f t="shared" si="40"/>
        <v>501991.67030364322</v>
      </c>
      <c r="D614" s="43">
        <f t="shared" si="43"/>
        <v>60239.000436437185</v>
      </c>
      <c r="E614" s="44">
        <f t="shared" si="41"/>
        <v>5019.9167030364324</v>
      </c>
      <c r="F614" s="44">
        <f t="shared" si="42"/>
        <v>1254.9791757591081</v>
      </c>
    </row>
    <row r="615" spans="1:6" ht="13.8" thickBot="1" x14ac:dyDescent="0.3">
      <c r="A615" s="172" t="s">
        <v>72</v>
      </c>
      <c r="B615" s="45">
        <v>1</v>
      </c>
      <c r="C615" s="43">
        <f t="shared" si="40"/>
        <v>503246.64947940235</v>
      </c>
      <c r="D615" s="43">
        <f t="shared" si="43"/>
        <v>60389.597937528277</v>
      </c>
      <c r="E615" s="44">
        <f t="shared" si="41"/>
        <v>5032.4664947940228</v>
      </c>
      <c r="F615" s="44">
        <f t="shared" si="42"/>
        <v>1258.1166236985057</v>
      </c>
    </row>
    <row r="616" spans="1:6" ht="13.8" thickBot="1" x14ac:dyDescent="0.3">
      <c r="A616" s="169"/>
      <c r="B616" s="45">
        <v>2</v>
      </c>
      <c r="C616" s="43">
        <f t="shared" si="40"/>
        <v>504504.76610310085</v>
      </c>
      <c r="D616" s="43">
        <f t="shared" si="43"/>
        <v>60540.571932372099</v>
      </c>
      <c r="E616" s="44">
        <f t="shared" si="41"/>
        <v>5045.0476610310079</v>
      </c>
      <c r="F616" s="44">
        <f t="shared" si="42"/>
        <v>1261.261915257752</v>
      </c>
    </row>
    <row r="617" spans="1:6" ht="13.8" thickBot="1" x14ac:dyDescent="0.3">
      <c r="A617" s="169"/>
      <c r="B617" s="45">
        <v>3</v>
      </c>
      <c r="C617" s="43">
        <f t="shared" si="40"/>
        <v>505766.02801835857</v>
      </c>
      <c r="D617" s="43">
        <f t="shared" si="43"/>
        <v>60691.92336220303</v>
      </c>
      <c r="E617" s="44">
        <f t="shared" si="41"/>
        <v>5057.6602801835861</v>
      </c>
      <c r="F617" s="44">
        <f t="shared" si="42"/>
        <v>1264.4150700458965</v>
      </c>
    </row>
    <row r="618" spans="1:6" ht="13.8" thickBot="1" x14ac:dyDescent="0.3">
      <c r="A618" s="173"/>
      <c r="B618" s="45">
        <v>4</v>
      </c>
      <c r="C618" s="43">
        <f t="shared" si="40"/>
        <v>507030.44308840449</v>
      </c>
      <c r="D618" s="43">
        <f t="shared" si="43"/>
        <v>60843.653170608537</v>
      </c>
      <c r="E618" s="44">
        <f t="shared" si="41"/>
        <v>5070.3044308840445</v>
      </c>
      <c r="F618" s="44">
        <f t="shared" si="42"/>
        <v>1267.5761077210111</v>
      </c>
    </row>
    <row r="619" spans="1:6" ht="13.8" thickBot="1" x14ac:dyDescent="0.3">
      <c r="A619" s="172" t="s">
        <v>73</v>
      </c>
      <c r="B619" s="45">
        <v>1</v>
      </c>
      <c r="C619" s="43">
        <f t="shared" si="40"/>
        <v>508298.0191961255</v>
      </c>
      <c r="D619" s="43">
        <f t="shared" si="43"/>
        <v>60995.762303535055</v>
      </c>
      <c r="E619" s="44">
        <f t="shared" si="41"/>
        <v>5082.9801919612546</v>
      </c>
      <c r="F619" s="44">
        <f t="shared" si="42"/>
        <v>1270.7450479903137</v>
      </c>
    </row>
    <row r="620" spans="1:6" ht="13.8" thickBot="1" x14ac:dyDescent="0.3">
      <c r="A620" s="169"/>
      <c r="B620" s="45">
        <v>2</v>
      </c>
      <c r="C620" s="43">
        <f t="shared" si="40"/>
        <v>509568.7642441158</v>
      </c>
      <c r="D620" s="43">
        <f t="shared" si="43"/>
        <v>61148.251709293894</v>
      </c>
      <c r="E620" s="44">
        <f t="shared" si="41"/>
        <v>5095.6876424411575</v>
      </c>
      <c r="F620" s="44">
        <f t="shared" si="42"/>
        <v>1273.9219106102894</v>
      </c>
    </row>
    <row r="621" spans="1:6" ht="13.8" thickBot="1" x14ac:dyDescent="0.3">
      <c r="A621" s="169"/>
      <c r="B621" s="45">
        <v>3</v>
      </c>
      <c r="C621" s="43">
        <f t="shared" si="40"/>
        <v>510842.68615472608</v>
      </c>
      <c r="D621" s="43">
        <f t="shared" si="43"/>
        <v>61301.122338567126</v>
      </c>
      <c r="E621" s="44">
        <f t="shared" si="41"/>
        <v>5108.4268615472602</v>
      </c>
      <c r="F621" s="44">
        <f t="shared" si="42"/>
        <v>1277.106715386815</v>
      </c>
    </row>
    <row r="622" spans="1:6" ht="13.8" thickBot="1" x14ac:dyDescent="0.3">
      <c r="A622" s="173"/>
      <c r="B622" s="45">
        <v>4</v>
      </c>
      <c r="C622" s="43">
        <f t="shared" si="40"/>
        <v>512119.79287011287</v>
      </c>
      <c r="D622" s="43">
        <f t="shared" si="43"/>
        <v>61454.375144413541</v>
      </c>
      <c r="E622" s="44">
        <f t="shared" si="41"/>
        <v>5121.1979287011281</v>
      </c>
      <c r="F622" s="44">
        <f t="shared" si="42"/>
        <v>1280.299482175282</v>
      </c>
    </row>
    <row r="623" spans="1:6" ht="13.8" thickBot="1" x14ac:dyDescent="0.3">
      <c r="A623" s="172" t="s">
        <v>74</v>
      </c>
      <c r="B623" s="45">
        <v>1</v>
      </c>
      <c r="C623" s="43">
        <f t="shared" si="40"/>
        <v>513400.09235228813</v>
      </c>
      <c r="D623" s="43">
        <f t="shared" si="43"/>
        <v>61608.011082274577</v>
      </c>
      <c r="E623" s="44">
        <f t="shared" si="41"/>
        <v>5134.0009235228817</v>
      </c>
      <c r="F623" s="44">
        <f t="shared" si="42"/>
        <v>1283.5002308807204</v>
      </c>
    </row>
    <row r="624" spans="1:6" ht="13.8" thickBot="1" x14ac:dyDescent="0.3">
      <c r="A624" s="169"/>
      <c r="B624" s="45">
        <v>2</v>
      </c>
      <c r="C624" s="43">
        <f t="shared" si="40"/>
        <v>514683.59258316888</v>
      </c>
      <c r="D624" s="43">
        <f t="shared" si="43"/>
        <v>61762.031109980264</v>
      </c>
      <c r="E624" s="44">
        <f t="shared" si="41"/>
        <v>5146.8359258316887</v>
      </c>
      <c r="F624" s="44">
        <f t="shared" si="42"/>
        <v>1286.7089814579222</v>
      </c>
    </row>
    <row r="625" spans="1:6" ht="13.8" thickBot="1" x14ac:dyDescent="0.3">
      <c r="A625" s="169"/>
      <c r="B625" s="45">
        <v>3</v>
      </c>
      <c r="C625" s="43">
        <f t="shared" si="40"/>
        <v>515970.3015646268</v>
      </c>
      <c r="D625" s="43">
        <f t="shared" si="43"/>
        <v>61916.436187755215</v>
      </c>
      <c r="E625" s="44">
        <f t="shared" si="41"/>
        <v>5159.7030156462679</v>
      </c>
      <c r="F625" s="44">
        <f t="shared" si="42"/>
        <v>1289.925753911567</v>
      </c>
    </row>
    <row r="626" spans="1:6" ht="13.8" thickBot="1" x14ac:dyDescent="0.3">
      <c r="A626" s="173"/>
      <c r="B626" s="45">
        <v>4</v>
      </c>
      <c r="C626" s="43">
        <f t="shared" si="40"/>
        <v>517260.22731853835</v>
      </c>
      <c r="D626" s="43">
        <f t="shared" si="43"/>
        <v>62071.2272782246</v>
      </c>
      <c r="E626" s="44">
        <f t="shared" si="41"/>
        <v>5172.6022731853836</v>
      </c>
      <c r="F626" s="44">
        <f t="shared" si="42"/>
        <v>1293.1505682963459</v>
      </c>
    </row>
    <row r="627" spans="1:6" ht="13.8" thickBot="1" x14ac:dyDescent="0.3">
      <c r="A627" s="172" t="s">
        <v>75</v>
      </c>
      <c r="B627" s="45">
        <v>1</v>
      </c>
      <c r="C627" s="43">
        <f t="shared" si="40"/>
        <v>518553.37788683467</v>
      </c>
      <c r="D627" s="43">
        <f t="shared" si="43"/>
        <v>62226.405346420157</v>
      </c>
      <c r="E627" s="44">
        <f t="shared" si="41"/>
        <v>5185.5337788683464</v>
      </c>
      <c r="F627" s="44">
        <f t="shared" si="42"/>
        <v>1296.3834447170866</v>
      </c>
    </row>
    <row r="628" spans="1:6" ht="13.8" thickBot="1" x14ac:dyDescent="0.3">
      <c r="A628" s="169"/>
      <c r="B628" s="45">
        <v>2</v>
      </c>
      <c r="C628" s="43">
        <f t="shared" si="40"/>
        <v>519849.76133155177</v>
      </c>
      <c r="D628" s="43">
        <f t="shared" si="43"/>
        <v>62381.971359786206</v>
      </c>
      <c r="E628" s="44">
        <f t="shared" si="41"/>
        <v>5198.4976133155169</v>
      </c>
      <c r="F628" s="44">
        <f t="shared" si="42"/>
        <v>1299.6244033288792</v>
      </c>
    </row>
    <row r="629" spans="1:6" ht="13.8" thickBot="1" x14ac:dyDescent="0.3">
      <c r="A629" s="169"/>
      <c r="B629" s="45">
        <v>3</v>
      </c>
      <c r="C629" s="43">
        <f t="shared" si="40"/>
        <v>521149.38573488063</v>
      </c>
      <c r="D629" s="43">
        <f t="shared" si="43"/>
        <v>62537.92628818567</v>
      </c>
      <c r="E629" s="44">
        <f t="shared" si="41"/>
        <v>5211.4938573488062</v>
      </c>
      <c r="F629" s="44">
        <f t="shared" si="42"/>
        <v>1302.8734643372015</v>
      </c>
    </row>
    <row r="630" spans="1:6" ht="13.8" thickBot="1" x14ac:dyDescent="0.3">
      <c r="A630" s="173"/>
      <c r="B630" s="45">
        <v>4</v>
      </c>
      <c r="C630" s="43">
        <f t="shared" si="40"/>
        <v>522452.25919921783</v>
      </c>
      <c r="D630" s="43">
        <f t="shared" si="43"/>
        <v>62694.27110390614</v>
      </c>
      <c r="E630" s="44">
        <f t="shared" si="41"/>
        <v>5224.5225919921786</v>
      </c>
      <c r="F630" s="44">
        <f t="shared" si="42"/>
        <v>1306.1306479980447</v>
      </c>
    </row>
    <row r="631" spans="1:6" ht="13.8" thickBot="1" x14ac:dyDescent="0.3">
      <c r="A631" s="172" t="s">
        <v>76</v>
      </c>
      <c r="B631" s="45">
        <v>1</v>
      </c>
      <c r="C631" s="43">
        <f t="shared" ref="C631:C694" si="44">IF(B631=1,C630+F630+$B$3,C630+F630)</f>
        <v>523758.38984721591</v>
      </c>
      <c r="D631" s="43">
        <f t="shared" si="43"/>
        <v>62851.006781665907</v>
      </c>
      <c r="E631" s="44">
        <f t="shared" si="41"/>
        <v>5237.5838984721586</v>
      </c>
      <c r="F631" s="44">
        <f t="shared" si="42"/>
        <v>1309.3959746180396</v>
      </c>
    </row>
    <row r="632" spans="1:6" ht="13.8" thickBot="1" x14ac:dyDescent="0.3">
      <c r="A632" s="169"/>
      <c r="B632" s="45">
        <v>2</v>
      </c>
      <c r="C632" s="43">
        <f t="shared" si="44"/>
        <v>525067.785821834</v>
      </c>
      <c r="D632" s="43">
        <f t="shared" si="43"/>
        <v>63008.134298620076</v>
      </c>
      <c r="E632" s="44">
        <f t="shared" si="41"/>
        <v>5250.6778582183397</v>
      </c>
      <c r="F632" s="44">
        <f t="shared" si="42"/>
        <v>1312.6694645545849</v>
      </c>
    </row>
    <row r="633" spans="1:6" ht="13.8" thickBot="1" x14ac:dyDescent="0.3">
      <c r="A633" s="169"/>
      <c r="B633" s="45">
        <v>3</v>
      </c>
      <c r="C633" s="43">
        <f t="shared" si="44"/>
        <v>526380.45528638863</v>
      </c>
      <c r="D633" s="43">
        <f t="shared" si="43"/>
        <v>63165.654634366634</v>
      </c>
      <c r="E633" s="44">
        <f t="shared" si="41"/>
        <v>5263.8045528638859</v>
      </c>
      <c r="F633" s="44">
        <f t="shared" si="42"/>
        <v>1315.9511382159715</v>
      </c>
    </row>
    <row r="634" spans="1:6" ht="13.8" thickBot="1" x14ac:dyDescent="0.3">
      <c r="A634" s="173"/>
      <c r="B634" s="45">
        <v>4</v>
      </c>
      <c r="C634" s="43">
        <f t="shared" si="44"/>
        <v>527696.40642460459</v>
      </c>
      <c r="D634" s="43">
        <f t="shared" si="43"/>
        <v>63323.568770952552</v>
      </c>
      <c r="E634" s="44">
        <f t="shared" si="41"/>
        <v>5276.9640642460463</v>
      </c>
      <c r="F634" s="44">
        <f t="shared" si="42"/>
        <v>1319.2410160615116</v>
      </c>
    </row>
    <row r="635" spans="1:6" ht="13.8" thickBot="1" x14ac:dyDescent="0.3">
      <c r="A635" s="172" t="s">
        <v>77</v>
      </c>
      <c r="B635" s="45">
        <v>1</v>
      </c>
      <c r="C635" s="43">
        <f t="shared" si="44"/>
        <v>529015.6474406661</v>
      </c>
      <c r="D635" s="43">
        <f t="shared" si="43"/>
        <v>63481.877692879927</v>
      </c>
      <c r="E635" s="44">
        <f t="shared" si="41"/>
        <v>5290.1564744066609</v>
      </c>
      <c r="F635" s="44">
        <f t="shared" si="42"/>
        <v>1322.5391186016652</v>
      </c>
    </row>
    <row r="636" spans="1:6" ht="13.8" thickBot="1" x14ac:dyDescent="0.3">
      <c r="A636" s="169"/>
      <c r="B636" s="45">
        <v>2</v>
      </c>
      <c r="C636" s="43">
        <f t="shared" si="44"/>
        <v>530338.18655926781</v>
      </c>
      <c r="D636" s="43">
        <f t="shared" si="43"/>
        <v>63640.582387112132</v>
      </c>
      <c r="E636" s="44">
        <f t="shared" si="41"/>
        <v>5303.381865592678</v>
      </c>
      <c r="F636" s="44">
        <f t="shared" si="42"/>
        <v>1325.8454663981695</v>
      </c>
    </row>
    <row r="637" spans="1:6" ht="13.8" thickBot="1" x14ac:dyDescent="0.3">
      <c r="A637" s="169"/>
      <c r="B637" s="45">
        <v>3</v>
      </c>
      <c r="C637" s="43">
        <f t="shared" si="44"/>
        <v>531664.03202566598</v>
      </c>
      <c r="D637" s="43">
        <f t="shared" si="43"/>
        <v>63799.683843079918</v>
      </c>
      <c r="E637" s="44">
        <f t="shared" si="41"/>
        <v>5316.6403202566598</v>
      </c>
      <c r="F637" s="44">
        <f t="shared" si="42"/>
        <v>1329.160080064165</v>
      </c>
    </row>
    <row r="638" spans="1:6" ht="13.8" thickBot="1" x14ac:dyDescent="0.3">
      <c r="A638" s="173"/>
      <c r="B638" s="45">
        <v>4</v>
      </c>
      <c r="C638" s="43">
        <f t="shared" si="44"/>
        <v>532993.19210573018</v>
      </c>
      <c r="D638" s="43">
        <f t="shared" si="43"/>
        <v>63959.183052687622</v>
      </c>
      <c r="E638" s="44">
        <f t="shared" si="41"/>
        <v>5329.9319210573021</v>
      </c>
      <c r="F638" s="44">
        <f t="shared" si="42"/>
        <v>1332.4829802643255</v>
      </c>
    </row>
    <row r="639" spans="1:6" ht="13.8" thickBot="1" x14ac:dyDescent="0.3">
      <c r="A639" s="172" t="s">
        <v>78</v>
      </c>
      <c r="B639" s="45">
        <v>1</v>
      </c>
      <c r="C639" s="43">
        <f t="shared" si="44"/>
        <v>534325.67508599453</v>
      </c>
      <c r="D639" s="43">
        <f t="shared" si="43"/>
        <v>64119.081010319343</v>
      </c>
      <c r="E639" s="44">
        <f t="shared" si="41"/>
        <v>5343.256750859945</v>
      </c>
      <c r="F639" s="44">
        <f t="shared" si="42"/>
        <v>1335.8141877149862</v>
      </c>
    </row>
    <row r="640" spans="1:6" ht="13.8" thickBot="1" x14ac:dyDescent="0.3">
      <c r="A640" s="169"/>
      <c r="B640" s="45">
        <v>2</v>
      </c>
      <c r="C640" s="43">
        <f t="shared" si="44"/>
        <v>535661.48927370948</v>
      </c>
      <c r="D640" s="43">
        <f t="shared" si="43"/>
        <v>64279.378712845137</v>
      </c>
      <c r="E640" s="44">
        <f t="shared" si="41"/>
        <v>5356.614892737095</v>
      </c>
      <c r="F640" s="44">
        <f t="shared" si="42"/>
        <v>1339.1537231842738</v>
      </c>
    </row>
    <row r="641" spans="1:6" ht="13.8" thickBot="1" x14ac:dyDescent="0.3">
      <c r="A641" s="169"/>
      <c r="B641" s="45">
        <v>3</v>
      </c>
      <c r="C641" s="43">
        <f t="shared" si="44"/>
        <v>537000.64299689373</v>
      </c>
      <c r="D641" s="43">
        <f t="shared" si="43"/>
        <v>64440.077159627246</v>
      </c>
      <c r="E641" s="44">
        <f t="shared" si="41"/>
        <v>5370.0064299689375</v>
      </c>
      <c r="F641" s="44">
        <f t="shared" si="42"/>
        <v>1342.5016074922344</v>
      </c>
    </row>
    <row r="642" spans="1:6" ht="13.8" thickBot="1" x14ac:dyDescent="0.3">
      <c r="A642" s="173"/>
      <c r="B642" s="45">
        <v>4</v>
      </c>
      <c r="C642" s="43">
        <f t="shared" si="44"/>
        <v>538343.14460438595</v>
      </c>
      <c r="D642" s="43">
        <f t="shared" si="43"/>
        <v>64601.177352526312</v>
      </c>
      <c r="E642" s="44">
        <f t="shared" si="41"/>
        <v>5383.4314460438591</v>
      </c>
      <c r="F642" s="44">
        <f t="shared" si="42"/>
        <v>1345.8578615109648</v>
      </c>
    </row>
    <row r="643" spans="1:6" ht="13.8" thickBot="1" x14ac:dyDescent="0.3">
      <c r="A643" s="172" t="s">
        <v>79</v>
      </c>
      <c r="B643" s="45">
        <v>1</v>
      </c>
      <c r="C643" s="43">
        <f t="shared" si="44"/>
        <v>539689.00246589689</v>
      </c>
      <c r="D643" s="43">
        <f t="shared" si="43"/>
        <v>64762.680295907623</v>
      </c>
      <c r="E643" s="44">
        <f t="shared" si="41"/>
        <v>5396.8900246589683</v>
      </c>
      <c r="F643" s="44">
        <f t="shared" si="42"/>
        <v>1349.2225061647421</v>
      </c>
    </row>
    <row r="644" spans="1:6" ht="13.8" thickBot="1" x14ac:dyDescent="0.3">
      <c r="A644" s="169"/>
      <c r="B644" s="45">
        <v>2</v>
      </c>
      <c r="C644" s="43">
        <f t="shared" si="44"/>
        <v>541038.22497206158</v>
      </c>
      <c r="D644" s="43">
        <f t="shared" si="43"/>
        <v>64924.586996647384</v>
      </c>
      <c r="E644" s="44">
        <f t="shared" si="41"/>
        <v>5410.3822497206156</v>
      </c>
      <c r="F644" s="44">
        <f t="shared" si="42"/>
        <v>1352.5955624301539</v>
      </c>
    </row>
    <row r="645" spans="1:6" ht="13.8" thickBot="1" x14ac:dyDescent="0.3">
      <c r="A645" s="169"/>
      <c r="B645" s="45">
        <v>3</v>
      </c>
      <c r="C645" s="43">
        <f t="shared" si="44"/>
        <v>542390.82053449168</v>
      </c>
      <c r="D645" s="43">
        <f t="shared" si="43"/>
        <v>65086.898464138998</v>
      </c>
      <c r="E645" s="44">
        <f t="shared" si="41"/>
        <v>5423.9082053449165</v>
      </c>
      <c r="F645" s="44">
        <f t="shared" si="42"/>
        <v>1355.9770513362291</v>
      </c>
    </row>
    <row r="646" spans="1:6" ht="13.8" thickBot="1" x14ac:dyDescent="0.3">
      <c r="A646" s="173"/>
      <c r="B646" s="45">
        <v>4</v>
      </c>
      <c r="C646" s="43">
        <f t="shared" si="44"/>
        <v>543746.79758582788</v>
      </c>
      <c r="D646" s="43">
        <f t="shared" si="43"/>
        <v>65249.615710299346</v>
      </c>
      <c r="E646" s="44">
        <f t="shared" ref="E646:E709" si="45">D646/12</f>
        <v>5437.4679758582788</v>
      </c>
      <c r="F646" s="44">
        <f t="shared" ref="F646:F709" si="46">E646/4</f>
        <v>1359.3669939645697</v>
      </c>
    </row>
    <row r="647" spans="1:6" ht="13.8" thickBot="1" x14ac:dyDescent="0.3">
      <c r="A647" s="172" t="s">
        <v>80</v>
      </c>
      <c r="B647" s="45">
        <v>1</v>
      </c>
      <c r="C647" s="43">
        <f t="shared" si="44"/>
        <v>545106.16457979241</v>
      </c>
      <c r="D647" s="43">
        <f t="shared" ref="D647:D710" si="47">C647*$F$2</f>
        <v>65412.739749575085</v>
      </c>
      <c r="E647" s="44">
        <f t="shared" si="45"/>
        <v>5451.061645797924</v>
      </c>
      <c r="F647" s="44">
        <f t="shared" si="46"/>
        <v>1362.765411449481</v>
      </c>
    </row>
    <row r="648" spans="1:6" ht="13.8" thickBot="1" x14ac:dyDescent="0.3">
      <c r="A648" s="169"/>
      <c r="B648" s="45">
        <v>2</v>
      </c>
      <c r="C648" s="43">
        <f t="shared" si="44"/>
        <v>546468.92999124189</v>
      </c>
      <c r="D648" s="43">
        <f t="shared" si="47"/>
        <v>65576.271598949024</v>
      </c>
      <c r="E648" s="44">
        <f t="shared" si="45"/>
        <v>5464.6892999124184</v>
      </c>
      <c r="F648" s="44">
        <f t="shared" si="46"/>
        <v>1366.1723249781046</v>
      </c>
    </row>
    <row r="649" spans="1:6" ht="13.8" thickBot="1" x14ac:dyDescent="0.3">
      <c r="A649" s="169"/>
      <c r="B649" s="45">
        <v>3</v>
      </c>
      <c r="C649" s="43">
        <f t="shared" si="44"/>
        <v>547835.10231621994</v>
      </c>
      <c r="D649" s="43">
        <f t="shared" si="47"/>
        <v>65740.212277946397</v>
      </c>
      <c r="E649" s="44">
        <f t="shared" si="45"/>
        <v>5478.3510231621995</v>
      </c>
      <c r="F649" s="44">
        <f t="shared" si="46"/>
        <v>1369.5877557905499</v>
      </c>
    </row>
    <row r="650" spans="1:6" ht="13.8" thickBot="1" x14ac:dyDescent="0.3">
      <c r="A650" s="173"/>
      <c r="B650" s="45">
        <v>4</v>
      </c>
      <c r="C650" s="43">
        <f t="shared" si="44"/>
        <v>549204.6900720105</v>
      </c>
      <c r="D650" s="43">
        <f t="shared" si="47"/>
        <v>65904.562808641262</v>
      </c>
      <c r="E650" s="44">
        <f t="shared" si="45"/>
        <v>5492.0469007201054</v>
      </c>
      <c r="F650" s="44">
        <f t="shared" si="46"/>
        <v>1373.0117251800264</v>
      </c>
    </row>
    <row r="651" spans="1:6" ht="13.8" thickBot="1" x14ac:dyDescent="0.3">
      <c r="A651" s="172" t="s">
        <v>81</v>
      </c>
      <c r="B651" s="45">
        <v>1</v>
      </c>
      <c r="C651" s="43">
        <f t="shared" si="44"/>
        <v>550577.70179719059</v>
      </c>
      <c r="D651" s="43">
        <f t="shared" si="47"/>
        <v>66069.324215662869</v>
      </c>
      <c r="E651" s="44">
        <f t="shared" si="45"/>
        <v>5505.7770179719055</v>
      </c>
      <c r="F651" s="44">
        <f t="shared" si="46"/>
        <v>1376.4442544929764</v>
      </c>
    </row>
    <row r="652" spans="1:6" ht="13.8" thickBot="1" x14ac:dyDescent="0.3">
      <c r="A652" s="169"/>
      <c r="B652" s="45">
        <v>2</v>
      </c>
      <c r="C652" s="43">
        <f t="shared" si="44"/>
        <v>551954.14605168358</v>
      </c>
      <c r="D652" s="43">
        <f t="shared" si="47"/>
        <v>66234.497526202031</v>
      </c>
      <c r="E652" s="44">
        <f t="shared" si="45"/>
        <v>5519.5414605168362</v>
      </c>
      <c r="F652" s="44">
        <f t="shared" si="46"/>
        <v>1379.885365129209</v>
      </c>
    </row>
    <row r="653" spans="1:6" ht="13.8" thickBot="1" x14ac:dyDescent="0.3">
      <c r="A653" s="169"/>
      <c r="B653" s="45">
        <v>3</v>
      </c>
      <c r="C653" s="43">
        <f t="shared" si="44"/>
        <v>553334.0314168128</v>
      </c>
      <c r="D653" s="43">
        <f t="shared" si="47"/>
        <v>66400.083770017533</v>
      </c>
      <c r="E653" s="44">
        <f t="shared" si="45"/>
        <v>5533.3403141681274</v>
      </c>
      <c r="F653" s="44">
        <f t="shared" si="46"/>
        <v>1383.3350785420319</v>
      </c>
    </row>
    <row r="654" spans="1:6" x14ac:dyDescent="0.25">
      <c r="A654" s="173"/>
      <c r="B654" s="45">
        <v>4</v>
      </c>
      <c r="C654" s="43">
        <f t="shared" si="44"/>
        <v>554717.3664953548</v>
      </c>
      <c r="D654" s="43">
        <f t="shared" si="47"/>
        <v>66566.08397944257</v>
      </c>
      <c r="E654" s="44">
        <f t="shared" si="45"/>
        <v>5547.1736649535478</v>
      </c>
      <c r="F654" s="44">
        <f t="shared" si="46"/>
        <v>1386.793416238387</v>
      </c>
    </row>
    <row r="655" spans="1:6" ht="13.8" thickBot="1" x14ac:dyDescent="0.3">
      <c r="A655" s="175" t="s">
        <v>82</v>
      </c>
      <c r="B655" s="47">
        <v>1</v>
      </c>
      <c r="C655" s="43">
        <f t="shared" si="44"/>
        <v>556104.15991159319</v>
      </c>
      <c r="D655" s="43">
        <f t="shared" si="47"/>
        <v>66732.499189391179</v>
      </c>
      <c r="E655" s="44">
        <f t="shared" si="45"/>
        <v>5561.0415991159316</v>
      </c>
      <c r="F655" s="44">
        <f t="shared" si="46"/>
        <v>1390.2603997789829</v>
      </c>
    </row>
    <row r="656" spans="1:6" ht="13.8" thickBot="1" x14ac:dyDescent="0.3">
      <c r="A656" s="169"/>
      <c r="B656" s="45">
        <v>2</v>
      </c>
      <c r="C656" s="43">
        <f t="shared" si="44"/>
        <v>557494.42031137215</v>
      </c>
      <c r="D656" s="43">
        <f t="shared" si="47"/>
        <v>66899.330437364653</v>
      </c>
      <c r="E656" s="44">
        <f t="shared" si="45"/>
        <v>5574.9442031137214</v>
      </c>
      <c r="F656" s="44">
        <f t="shared" si="46"/>
        <v>1393.7360507784304</v>
      </c>
    </row>
    <row r="657" spans="1:6" ht="13.8" thickBot="1" x14ac:dyDescent="0.3">
      <c r="A657" s="169"/>
      <c r="B657" s="45">
        <v>3</v>
      </c>
      <c r="C657" s="43">
        <f t="shared" si="44"/>
        <v>558888.15636215056</v>
      </c>
      <c r="D657" s="43">
        <f t="shared" si="47"/>
        <v>67066.578763458063</v>
      </c>
      <c r="E657" s="44">
        <f t="shared" si="45"/>
        <v>5588.8815636215049</v>
      </c>
      <c r="F657" s="44">
        <f t="shared" si="46"/>
        <v>1397.2203909053762</v>
      </c>
    </row>
    <row r="658" spans="1:6" ht="13.8" thickBot="1" x14ac:dyDescent="0.3">
      <c r="A658" s="173"/>
      <c r="B658" s="45">
        <v>4</v>
      </c>
      <c r="C658" s="43">
        <f t="shared" si="44"/>
        <v>560285.37675305596</v>
      </c>
      <c r="D658" s="43">
        <f t="shared" si="47"/>
        <v>67234.245210366716</v>
      </c>
      <c r="E658" s="44">
        <f t="shared" si="45"/>
        <v>5602.8537675305597</v>
      </c>
      <c r="F658" s="44">
        <f t="shared" si="46"/>
        <v>1400.7134418826399</v>
      </c>
    </row>
    <row r="659" spans="1:6" ht="13.8" thickBot="1" x14ac:dyDescent="0.3">
      <c r="A659" s="172" t="s">
        <v>83</v>
      </c>
      <c r="B659" s="45">
        <v>1</v>
      </c>
      <c r="C659" s="43">
        <f t="shared" si="44"/>
        <v>561686.09019493859</v>
      </c>
      <c r="D659" s="43">
        <f t="shared" si="47"/>
        <v>67402.330823392622</v>
      </c>
      <c r="E659" s="44">
        <f t="shared" si="45"/>
        <v>5616.8609019493852</v>
      </c>
      <c r="F659" s="44">
        <f t="shared" si="46"/>
        <v>1404.2152254873463</v>
      </c>
    </row>
    <row r="660" spans="1:6" ht="13.8" thickBot="1" x14ac:dyDescent="0.3">
      <c r="A660" s="169"/>
      <c r="B660" s="45">
        <v>2</v>
      </c>
      <c r="C660" s="43">
        <f t="shared" si="44"/>
        <v>563090.30542042595</v>
      </c>
      <c r="D660" s="43">
        <f t="shared" si="47"/>
        <v>67570.836650451107</v>
      </c>
      <c r="E660" s="44">
        <f t="shared" si="45"/>
        <v>5630.9030542042592</v>
      </c>
      <c r="F660" s="44">
        <f t="shared" si="46"/>
        <v>1407.7257635510648</v>
      </c>
    </row>
    <row r="661" spans="1:6" ht="13.8" thickBot="1" x14ac:dyDescent="0.3">
      <c r="A661" s="169"/>
      <c r="B661" s="45">
        <v>3</v>
      </c>
      <c r="C661" s="43">
        <f t="shared" si="44"/>
        <v>564498.03118397703</v>
      </c>
      <c r="D661" s="43">
        <f t="shared" si="47"/>
        <v>67739.763742077237</v>
      </c>
      <c r="E661" s="44">
        <f t="shared" si="45"/>
        <v>5644.9803118397695</v>
      </c>
      <c r="F661" s="44">
        <f t="shared" si="46"/>
        <v>1411.2450779599424</v>
      </c>
    </row>
    <row r="662" spans="1:6" ht="13.8" thickBot="1" x14ac:dyDescent="0.3">
      <c r="A662" s="173"/>
      <c r="B662" s="45">
        <v>4</v>
      </c>
      <c r="C662" s="43">
        <f t="shared" si="44"/>
        <v>565909.27626193699</v>
      </c>
      <c r="D662" s="43">
        <f t="shared" si="47"/>
        <v>67909.113151432437</v>
      </c>
      <c r="E662" s="44">
        <f t="shared" si="45"/>
        <v>5659.0927626193698</v>
      </c>
      <c r="F662" s="44">
        <f t="shared" si="46"/>
        <v>1414.7731906548424</v>
      </c>
    </row>
    <row r="663" spans="1:6" ht="13.8" thickBot="1" x14ac:dyDescent="0.3">
      <c r="A663" s="172" t="s">
        <v>84</v>
      </c>
      <c r="B663" s="45">
        <v>1</v>
      </c>
      <c r="C663" s="43">
        <f t="shared" si="44"/>
        <v>567324.0494525918</v>
      </c>
      <c r="D663" s="43">
        <f t="shared" si="47"/>
        <v>68078.885934311009</v>
      </c>
      <c r="E663" s="44">
        <f t="shared" si="45"/>
        <v>5673.2404945259177</v>
      </c>
      <c r="F663" s="44">
        <f t="shared" si="46"/>
        <v>1418.3101236314794</v>
      </c>
    </row>
    <row r="664" spans="1:6" ht="13.8" thickBot="1" x14ac:dyDescent="0.3">
      <c r="A664" s="169"/>
      <c r="B664" s="45">
        <v>2</v>
      </c>
      <c r="C664" s="43">
        <f t="shared" si="44"/>
        <v>568742.3595762233</v>
      </c>
      <c r="D664" s="43">
        <f t="shared" si="47"/>
        <v>68249.083149146798</v>
      </c>
      <c r="E664" s="44">
        <f t="shared" si="45"/>
        <v>5687.4235957622332</v>
      </c>
      <c r="F664" s="44">
        <f t="shared" si="46"/>
        <v>1421.8558989405583</v>
      </c>
    </row>
    <row r="665" spans="1:6" ht="13.8" thickBot="1" x14ac:dyDescent="0.3">
      <c r="A665" s="169"/>
      <c r="B665" s="45">
        <v>3</v>
      </c>
      <c r="C665" s="43">
        <f t="shared" si="44"/>
        <v>570164.21547516389</v>
      </c>
      <c r="D665" s="43">
        <f t="shared" si="47"/>
        <v>68419.705857019668</v>
      </c>
      <c r="E665" s="44">
        <f t="shared" si="45"/>
        <v>5701.6421547516393</v>
      </c>
      <c r="F665" s="44">
        <f t="shared" si="46"/>
        <v>1425.4105386879098</v>
      </c>
    </row>
    <row r="666" spans="1:6" ht="13.8" thickBot="1" x14ac:dyDescent="0.3">
      <c r="A666" s="173"/>
      <c r="B666" s="45">
        <v>4</v>
      </c>
      <c r="C666" s="43">
        <f t="shared" si="44"/>
        <v>571589.62601385184</v>
      </c>
      <c r="D666" s="43">
        <f t="shared" si="47"/>
        <v>68590.755121662223</v>
      </c>
      <c r="E666" s="44">
        <f t="shared" si="45"/>
        <v>5715.8962601385183</v>
      </c>
      <c r="F666" s="44">
        <f t="shared" si="46"/>
        <v>1428.9740650346296</v>
      </c>
    </row>
    <row r="667" spans="1:6" ht="13.8" thickBot="1" x14ac:dyDescent="0.3">
      <c r="A667" s="172" t="s">
        <v>85</v>
      </c>
      <c r="B667" s="45">
        <v>1</v>
      </c>
      <c r="C667" s="43">
        <f t="shared" si="44"/>
        <v>573018.60007888649</v>
      </c>
      <c r="D667" s="43">
        <f t="shared" si="47"/>
        <v>68762.232009466374</v>
      </c>
      <c r="E667" s="44">
        <f t="shared" si="45"/>
        <v>5730.1860007888645</v>
      </c>
      <c r="F667" s="44">
        <f t="shared" si="46"/>
        <v>1432.5465001972161</v>
      </c>
    </row>
    <row r="668" spans="1:6" ht="13.8" thickBot="1" x14ac:dyDescent="0.3">
      <c r="A668" s="169"/>
      <c r="B668" s="45">
        <v>2</v>
      </c>
      <c r="C668" s="43">
        <f t="shared" si="44"/>
        <v>574451.14657908375</v>
      </c>
      <c r="D668" s="43">
        <f t="shared" si="47"/>
        <v>68934.137589490041</v>
      </c>
      <c r="E668" s="44">
        <f t="shared" si="45"/>
        <v>5744.5114657908371</v>
      </c>
      <c r="F668" s="44">
        <f t="shared" si="46"/>
        <v>1436.1278664477093</v>
      </c>
    </row>
    <row r="669" spans="1:6" ht="13.8" thickBot="1" x14ac:dyDescent="0.3">
      <c r="A669" s="169"/>
      <c r="B669" s="45">
        <v>3</v>
      </c>
      <c r="C669" s="43">
        <f t="shared" si="44"/>
        <v>575887.27444553142</v>
      </c>
      <c r="D669" s="43">
        <f t="shared" si="47"/>
        <v>69106.472933463767</v>
      </c>
      <c r="E669" s="44">
        <f t="shared" si="45"/>
        <v>5758.8727444553142</v>
      </c>
      <c r="F669" s="44">
        <f t="shared" si="46"/>
        <v>1439.7181861138286</v>
      </c>
    </row>
    <row r="670" spans="1:6" ht="13.8" thickBot="1" x14ac:dyDescent="0.3">
      <c r="A670" s="173"/>
      <c r="B670" s="45">
        <v>4</v>
      </c>
      <c r="C670" s="43">
        <f t="shared" si="44"/>
        <v>577326.99263164529</v>
      </c>
      <c r="D670" s="43">
        <f t="shared" si="47"/>
        <v>69279.239115797434</v>
      </c>
      <c r="E670" s="44">
        <f t="shared" si="45"/>
        <v>5773.2699263164532</v>
      </c>
      <c r="F670" s="44">
        <f t="shared" si="46"/>
        <v>1443.3174815791133</v>
      </c>
    </row>
    <row r="671" spans="1:6" ht="13.8" thickBot="1" x14ac:dyDescent="0.3">
      <c r="A671" s="172" t="s">
        <v>86</v>
      </c>
      <c r="B671" s="45">
        <v>1</v>
      </c>
      <c r="C671" s="43">
        <f t="shared" si="44"/>
        <v>578770.31011322443</v>
      </c>
      <c r="D671" s="43">
        <f t="shared" si="47"/>
        <v>69452.437213586934</v>
      </c>
      <c r="E671" s="44">
        <f t="shared" si="45"/>
        <v>5787.7031011322442</v>
      </c>
      <c r="F671" s="44">
        <f t="shared" si="46"/>
        <v>1446.9257752830611</v>
      </c>
    </row>
    <row r="672" spans="1:6" ht="13.8" thickBot="1" x14ac:dyDescent="0.3">
      <c r="A672" s="169"/>
      <c r="B672" s="45">
        <v>2</v>
      </c>
      <c r="C672" s="43">
        <f t="shared" si="44"/>
        <v>580217.23588850745</v>
      </c>
      <c r="D672" s="43">
        <f t="shared" si="47"/>
        <v>69626.068306620888</v>
      </c>
      <c r="E672" s="44">
        <f t="shared" si="45"/>
        <v>5802.1723588850737</v>
      </c>
      <c r="F672" s="44">
        <f t="shared" si="46"/>
        <v>1450.5430897212684</v>
      </c>
    </row>
    <row r="673" spans="1:6" ht="13.8" thickBot="1" x14ac:dyDescent="0.3">
      <c r="A673" s="169"/>
      <c r="B673" s="45">
        <v>3</v>
      </c>
      <c r="C673" s="43">
        <f t="shared" si="44"/>
        <v>581667.77897822869</v>
      </c>
      <c r="D673" s="43">
        <f t="shared" si="47"/>
        <v>69800.133477387441</v>
      </c>
      <c r="E673" s="44">
        <f t="shared" si="45"/>
        <v>5816.6777897822867</v>
      </c>
      <c r="F673" s="44">
        <f t="shared" si="46"/>
        <v>1454.1694474455717</v>
      </c>
    </row>
    <row r="674" spans="1:6" ht="13.8" thickBot="1" x14ac:dyDescent="0.3">
      <c r="A674" s="173"/>
      <c r="B674" s="45">
        <v>4</v>
      </c>
      <c r="C674" s="43">
        <f t="shared" si="44"/>
        <v>583121.94842567423</v>
      </c>
      <c r="D674" s="43">
        <f t="shared" si="47"/>
        <v>69974.633811080901</v>
      </c>
      <c r="E674" s="44">
        <f t="shared" si="45"/>
        <v>5831.2194842567415</v>
      </c>
      <c r="F674" s="44">
        <f t="shared" si="46"/>
        <v>1457.8048710641854</v>
      </c>
    </row>
    <row r="675" spans="1:6" ht="13.8" thickBot="1" x14ac:dyDescent="0.3">
      <c r="A675" s="172" t="s">
        <v>87</v>
      </c>
      <c r="B675" s="45">
        <v>1</v>
      </c>
      <c r="C675" s="43">
        <f t="shared" si="44"/>
        <v>584579.75329673837</v>
      </c>
      <c r="D675" s="43">
        <f t="shared" si="47"/>
        <v>70149.570395608607</v>
      </c>
      <c r="E675" s="44">
        <f t="shared" si="45"/>
        <v>5845.7975329673836</v>
      </c>
      <c r="F675" s="44">
        <f t="shared" si="46"/>
        <v>1461.4493832418459</v>
      </c>
    </row>
    <row r="676" spans="1:6" ht="13.8" thickBot="1" x14ac:dyDescent="0.3">
      <c r="A676" s="169"/>
      <c r="B676" s="45">
        <v>2</v>
      </c>
      <c r="C676" s="43">
        <f t="shared" si="44"/>
        <v>586041.2026799802</v>
      </c>
      <c r="D676" s="43">
        <f t="shared" si="47"/>
        <v>70324.944321597621</v>
      </c>
      <c r="E676" s="44">
        <f t="shared" si="45"/>
        <v>5860.4120267998014</v>
      </c>
      <c r="F676" s="44">
        <f t="shared" si="46"/>
        <v>1465.1030066999504</v>
      </c>
    </row>
    <row r="677" spans="1:6" ht="13.8" thickBot="1" x14ac:dyDescent="0.3">
      <c r="A677" s="169"/>
      <c r="B677" s="45">
        <v>3</v>
      </c>
      <c r="C677" s="43">
        <f t="shared" si="44"/>
        <v>587506.30568668013</v>
      </c>
      <c r="D677" s="43">
        <f t="shared" si="47"/>
        <v>70500.75668240161</v>
      </c>
      <c r="E677" s="44">
        <f t="shared" si="45"/>
        <v>5875.0630568668012</v>
      </c>
      <c r="F677" s="44">
        <f t="shared" si="46"/>
        <v>1468.7657642167003</v>
      </c>
    </row>
    <row r="678" spans="1:6" ht="13.8" thickBot="1" x14ac:dyDescent="0.3">
      <c r="A678" s="173"/>
      <c r="B678" s="45">
        <v>4</v>
      </c>
      <c r="C678" s="43">
        <f t="shared" si="44"/>
        <v>588975.07145089679</v>
      </c>
      <c r="D678" s="43">
        <f t="shared" si="47"/>
        <v>70677.008574107618</v>
      </c>
      <c r="E678" s="44">
        <f t="shared" si="45"/>
        <v>5889.7507145089685</v>
      </c>
      <c r="F678" s="44">
        <f t="shared" si="46"/>
        <v>1472.4376786272421</v>
      </c>
    </row>
    <row r="679" spans="1:6" ht="13.8" thickBot="1" x14ac:dyDescent="0.3">
      <c r="A679" s="172" t="s">
        <v>88</v>
      </c>
      <c r="B679" s="45">
        <v>1</v>
      </c>
      <c r="C679" s="43">
        <f t="shared" si="44"/>
        <v>590447.509129524</v>
      </c>
      <c r="D679" s="43">
        <f t="shared" si="47"/>
        <v>70853.70109554287</v>
      </c>
      <c r="E679" s="44">
        <f t="shared" si="45"/>
        <v>5904.4750912952395</v>
      </c>
      <c r="F679" s="44">
        <f t="shared" si="46"/>
        <v>1476.1187728238099</v>
      </c>
    </row>
    <row r="680" spans="1:6" ht="13.8" thickBot="1" x14ac:dyDescent="0.3">
      <c r="A680" s="169"/>
      <c r="B680" s="45">
        <v>2</v>
      </c>
      <c r="C680" s="43">
        <f t="shared" si="44"/>
        <v>591923.62790234783</v>
      </c>
      <c r="D680" s="43">
        <f t="shared" si="47"/>
        <v>71030.835348281733</v>
      </c>
      <c r="E680" s="44">
        <f t="shared" si="45"/>
        <v>5919.2362790234774</v>
      </c>
      <c r="F680" s="44">
        <f t="shared" si="46"/>
        <v>1479.8090697558694</v>
      </c>
    </row>
    <row r="681" spans="1:6" ht="13.8" thickBot="1" x14ac:dyDescent="0.3">
      <c r="A681" s="169"/>
      <c r="B681" s="45">
        <v>3</v>
      </c>
      <c r="C681" s="43">
        <f t="shared" si="44"/>
        <v>593403.43697210366</v>
      </c>
      <c r="D681" s="43">
        <f t="shared" si="47"/>
        <v>71208.412436652434</v>
      </c>
      <c r="E681" s="44">
        <f t="shared" si="45"/>
        <v>5934.0343697210365</v>
      </c>
      <c r="F681" s="44">
        <f t="shared" si="46"/>
        <v>1483.5085924302591</v>
      </c>
    </row>
    <row r="682" spans="1:6" ht="13.8" thickBot="1" x14ac:dyDescent="0.3">
      <c r="A682" s="173"/>
      <c r="B682" s="45">
        <v>4</v>
      </c>
      <c r="C682" s="43">
        <f t="shared" si="44"/>
        <v>594886.94556453393</v>
      </c>
      <c r="D682" s="43">
        <f t="shared" si="47"/>
        <v>71386.433467744064</v>
      </c>
      <c r="E682" s="44">
        <f t="shared" si="45"/>
        <v>5948.8694556453383</v>
      </c>
      <c r="F682" s="44">
        <f t="shared" si="46"/>
        <v>1487.2173639113346</v>
      </c>
    </row>
    <row r="683" spans="1:6" ht="13.8" thickBot="1" x14ac:dyDescent="0.3">
      <c r="A683" s="172" t="s">
        <v>89</v>
      </c>
      <c r="B683" s="45">
        <v>1</v>
      </c>
      <c r="C683" s="43">
        <f t="shared" si="44"/>
        <v>596374.16292844526</v>
      </c>
      <c r="D683" s="43">
        <f t="shared" si="47"/>
        <v>71564.899551413429</v>
      </c>
      <c r="E683" s="44">
        <f t="shared" si="45"/>
        <v>5963.7416292844528</v>
      </c>
      <c r="F683" s="44">
        <f t="shared" si="46"/>
        <v>1490.9354073211132</v>
      </c>
    </row>
    <row r="684" spans="1:6" ht="13.8" thickBot="1" x14ac:dyDescent="0.3">
      <c r="A684" s="169"/>
      <c r="B684" s="45">
        <v>2</v>
      </c>
      <c r="C684" s="43">
        <f t="shared" si="44"/>
        <v>597865.09833576635</v>
      </c>
      <c r="D684" s="43">
        <f t="shared" si="47"/>
        <v>71743.811800291965</v>
      </c>
      <c r="E684" s="44">
        <f t="shared" si="45"/>
        <v>5978.6509833576638</v>
      </c>
      <c r="F684" s="44">
        <f t="shared" si="46"/>
        <v>1494.6627458394159</v>
      </c>
    </row>
    <row r="685" spans="1:6" ht="13.8" thickBot="1" x14ac:dyDescent="0.3">
      <c r="A685" s="169"/>
      <c r="B685" s="45">
        <v>3</v>
      </c>
      <c r="C685" s="43">
        <f t="shared" si="44"/>
        <v>599359.7610816058</v>
      </c>
      <c r="D685" s="43">
        <f t="shared" si="47"/>
        <v>71923.171329792691</v>
      </c>
      <c r="E685" s="44">
        <f t="shared" si="45"/>
        <v>5993.5976108160576</v>
      </c>
      <c r="F685" s="44">
        <f t="shared" si="46"/>
        <v>1498.3994027040144</v>
      </c>
    </row>
    <row r="686" spans="1:6" ht="13.8" thickBot="1" x14ac:dyDescent="0.3">
      <c r="A686" s="173"/>
      <c r="B686" s="45">
        <v>4</v>
      </c>
      <c r="C686" s="43">
        <f t="shared" si="44"/>
        <v>600858.16048430977</v>
      </c>
      <c r="D686" s="43">
        <f t="shared" si="47"/>
        <v>72102.979258117164</v>
      </c>
      <c r="E686" s="44">
        <f t="shared" si="45"/>
        <v>6008.581604843097</v>
      </c>
      <c r="F686" s="44">
        <f t="shared" si="46"/>
        <v>1502.1454012107743</v>
      </c>
    </row>
    <row r="687" spans="1:6" ht="13.8" thickBot="1" x14ac:dyDescent="0.3">
      <c r="A687" s="172" t="s">
        <v>90</v>
      </c>
      <c r="B687" s="45">
        <v>1</v>
      </c>
      <c r="C687" s="43">
        <f t="shared" si="44"/>
        <v>602360.30588552053</v>
      </c>
      <c r="D687" s="43">
        <f t="shared" si="47"/>
        <v>72283.236706262454</v>
      </c>
      <c r="E687" s="44">
        <f t="shared" si="45"/>
        <v>6023.6030588552048</v>
      </c>
      <c r="F687" s="44">
        <f t="shared" si="46"/>
        <v>1505.9007647138012</v>
      </c>
    </row>
    <row r="688" spans="1:6" ht="13.8" thickBot="1" x14ac:dyDescent="0.3">
      <c r="A688" s="169"/>
      <c r="B688" s="45">
        <v>2</v>
      </c>
      <c r="C688" s="43">
        <f t="shared" si="44"/>
        <v>603866.20665023429</v>
      </c>
      <c r="D688" s="43">
        <f t="shared" si="47"/>
        <v>72463.944798028111</v>
      </c>
      <c r="E688" s="44">
        <f t="shared" si="45"/>
        <v>6038.6620665023429</v>
      </c>
      <c r="F688" s="44">
        <f t="shared" si="46"/>
        <v>1509.6655166255857</v>
      </c>
    </row>
    <row r="689" spans="1:6" ht="13.8" thickBot="1" x14ac:dyDescent="0.3">
      <c r="A689" s="169"/>
      <c r="B689" s="45">
        <v>3</v>
      </c>
      <c r="C689" s="43">
        <f t="shared" si="44"/>
        <v>605375.87216685992</v>
      </c>
      <c r="D689" s="43">
        <f t="shared" si="47"/>
        <v>72645.104660023193</v>
      </c>
      <c r="E689" s="44">
        <f t="shared" si="45"/>
        <v>6053.7587216685997</v>
      </c>
      <c r="F689" s="44">
        <f t="shared" si="46"/>
        <v>1513.4396804171499</v>
      </c>
    </row>
    <row r="690" spans="1:6" ht="13.8" thickBot="1" x14ac:dyDescent="0.3">
      <c r="A690" s="173"/>
      <c r="B690" s="45">
        <v>4</v>
      </c>
      <c r="C690" s="43">
        <f t="shared" si="44"/>
        <v>606889.3118472771</v>
      </c>
      <c r="D690" s="43">
        <f t="shared" si="47"/>
        <v>72826.717421673253</v>
      </c>
      <c r="E690" s="44">
        <f t="shared" si="45"/>
        <v>6068.8931184727708</v>
      </c>
      <c r="F690" s="44">
        <f t="shared" si="46"/>
        <v>1517.2232796181927</v>
      </c>
    </row>
    <row r="691" spans="1:6" ht="13.8" thickBot="1" x14ac:dyDescent="0.3">
      <c r="A691" s="172" t="s">
        <v>91</v>
      </c>
      <c r="B691" s="45">
        <v>1</v>
      </c>
      <c r="C691" s="43">
        <f t="shared" si="44"/>
        <v>608406.53512689529</v>
      </c>
      <c r="D691" s="43">
        <f t="shared" si="47"/>
        <v>73008.784215227439</v>
      </c>
      <c r="E691" s="44">
        <f t="shared" si="45"/>
        <v>6084.0653512689532</v>
      </c>
      <c r="F691" s="44">
        <f t="shared" si="46"/>
        <v>1521.0163378172383</v>
      </c>
    </row>
    <row r="692" spans="1:6" ht="13.8" thickBot="1" x14ac:dyDescent="0.3">
      <c r="A692" s="169"/>
      <c r="B692" s="45">
        <v>2</v>
      </c>
      <c r="C692" s="43">
        <f t="shared" si="44"/>
        <v>609927.55146471248</v>
      </c>
      <c r="D692" s="43">
        <f t="shared" si="47"/>
        <v>73191.306175765494</v>
      </c>
      <c r="E692" s="44">
        <f t="shared" si="45"/>
        <v>6099.2755146471245</v>
      </c>
      <c r="F692" s="44">
        <f t="shared" si="46"/>
        <v>1524.8188786617811</v>
      </c>
    </row>
    <row r="693" spans="1:6" ht="13.8" thickBot="1" x14ac:dyDescent="0.3">
      <c r="A693" s="169"/>
      <c r="B693" s="45">
        <v>3</v>
      </c>
      <c r="C693" s="43">
        <f t="shared" si="44"/>
        <v>611452.3703433742</v>
      </c>
      <c r="D693" s="43">
        <f t="shared" si="47"/>
        <v>73374.284441204902</v>
      </c>
      <c r="E693" s="44">
        <f t="shared" si="45"/>
        <v>6114.5237034337415</v>
      </c>
      <c r="F693" s="44">
        <f t="shared" si="46"/>
        <v>1528.6309258584354</v>
      </c>
    </row>
    <row r="694" spans="1:6" ht="13.8" thickBot="1" x14ac:dyDescent="0.3">
      <c r="A694" s="173"/>
      <c r="B694" s="45">
        <v>4</v>
      </c>
      <c r="C694" s="43">
        <f t="shared" si="44"/>
        <v>612981.0012692326</v>
      </c>
      <c r="D694" s="43">
        <f t="shared" si="47"/>
        <v>73557.720152307913</v>
      </c>
      <c r="E694" s="44">
        <f t="shared" si="45"/>
        <v>6129.8100126923264</v>
      </c>
      <c r="F694" s="44">
        <f t="shared" si="46"/>
        <v>1532.4525031730816</v>
      </c>
    </row>
    <row r="695" spans="1:6" ht="13.8" thickBot="1" x14ac:dyDescent="0.3">
      <c r="A695" s="172" t="s">
        <v>92</v>
      </c>
      <c r="B695" s="45">
        <v>1</v>
      </c>
      <c r="C695" s="43">
        <f t="shared" ref="C695:C758" si="48">IF(B695=1,C694+F694+$B$3,C694+F694)</f>
        <v>614513.45377240563</v>
      </c>
      <c r="D695" s="43">
        <f t="shared" si="47"/>
        <v>73741.614452688678</v>
      </c>
      <c r="E695" s="44">
        <f t="shared" si="45"/>
        <v>6145.1345377240568</v>
      </c>
      <c r="F695" s="44">
        <f t="shared" si="46"/>
        <v>1536.2836344310142</v>
      </c>
    </row>
    <row r="696" spans="1:6" ht="13.8" thickBot="1" x14ac:dyDescent="0.3">
      <c r="A696" s="169"/>
      <c r="B696" s="45">
        <v>2</v>
      </c>
      <c r="C696" s="43">
        <f t="shared" si="48"/>
        <v>616049.73740683659</v>
      </c>
      <c r="D696" s="43">
        <f t="shared" si="47"/>
        <v>73925.968488820392</v>
      </c>
      <c r="E696" s="44">
        <f t="shared" si="45"/>
        <v>6160.4973740683663</v>
      </c>
      <c r="F696" s="44">
        <f t="shared" si="46"/>
        <v>1540.1243435170916</v>
      </c>
    </row>
    <row r="697" spans="1:6" ht="13.8" thickBot="1" x14ac:dyDescent="0.3">
      <c r="A697" s="169"/>
      <c r="B697" s="45">
        <v>3</v>
      </c>
      <c r="C697" s="43">
        <f t="shared" si="48"/>
        <v>617589.86175035371</v>
      </c>
      <c r="D697" s="43">
        <f t="shared" si="47"/>
        <v>74110.783410042437</v>
      </c>
      <c r="E697" s="44">
        <f t="shared" si="45"/>
        <v>6175.8986175035361</v>
      </c>
      <c r="F697" s="44">
        <f t="shared" si="46"/>
        <v>1543.974654375884</v>
      </c>
    </row>
    <row r="698" spans="1:6" ht="13.8" thickBot="1" x14ac:dyDescent="0.3">
      <c r="A698" s="173"/>
      <c r="B698" s="45">
        <v>4</v>
      </c>
      <c r="C698" s="43">
        <f t="shared" si="48"/>
        <v>619133.83640472963</v>
      </c>
      <c r="D698" s="43">
        <f t="shared" si="47"/>
        <v>74296.06036856756</v>
      </c>
      <c r="E698" s="44">
        <f t="shared" si="45"/>
        <v>6191.3383640472966</v>
      </c>
      <c r="F698" s="44">
        <f t="shared" si="46"/>
        <v>1547.8345910118242</v>
      </c>
    </row>
    <row r="699" spans="1:6" ht="13.8" thickBot="1" x14ac:dyDescent="0.3">
      <c r="A699" s="172" t="s">
        <v>93</v>
      </c>
      <c r="B699" s="45">
        <v>1</v>
      </c>
      <c r="C699" s="43">
        <f t="shared" si="48"/>
        <v>620681.6709957415</v>
      </c>
      <c r="D699" s="43">
        <f t="shared" si="47"/>
        <v>74481.80051948897</v>
      </c>
      <c r="E699" s="44">
        <f t="shared" si="45"/>
        <v>6206.8167099574139</v>
      </c>
      <c r="F699" s="44">
        <f t="shared" si="46"/>
        <v>1551.7041774893535</v>
      </c>
    </row>
    <row r="700" spans="1:6" ht="13.8" thickBot="1" x14ac:dyDescent="0.3">
      <c r="A700" s="169"/>
      <c r="B700" s="45">
        <v>2</v>
      </c>
      <c r="C700" s="43">
        <f t="shared" si="48"/>
        <v>622233.37517323089</v>
      </c>
      <c r="D700" s="43">
        <f t="shared" si="47"/>
        <v>74668.005020787707</v>
      </c>
      <c r="E700" s="44">
        <f t="shared" si="45"/>
        <v>6222.3337517323089</v>
      </c>
      <c r="F700" s="44">
        <f t="shared" si="46"/>
        <v>1555.5834379330772</v>
      </c>
    </row>
    <row r="701" spans="1:6" ht="13.8" thickBot="1" x14ac:dyDescent="0.3">
      <c r="A701" s="169"/>
      <c r="B701" s="45">
        <v>3</v>
      </c>
      <c r="C701" s="43">
        <f t="shared" si="48"/>
        <v>623788.95861116401</v>
      </c>
      <c r="D701" s="43">
        <f t="shared" si="47"/>
        <v>74854.675033339678</v>
      </c>
      <c r="E701" s="44">
        <f t="shared" si="45"/>
        <v>6237.8895861116398</v>
      </c>
      <c r="F701" s="44">
        <f t="shared" si="46"/>
        <v>1559.47239652791</v>
      </c>
    </row>
    <row r="702" spans="1:6" x14ac:dyDescent="0.25">
      <c r="A702" s="173"/>
      <c r="B702" s="45">
        <v>4</v>
      </c>
      <c r="C702" s="43">
        <f t="shared" si="48"/>
        <v>625348.43100769189</v>
      </c>
      <c r="D702" s="43">
        <f t="shared" si="47"/>
        <v>75041.811720923026</v>
      </c>
      <c r="E702" s="44">
        <f t="shared" si="45"/>
        <v>6253.4843100769185</v>
      </c>
      <c r="F702" s="44">
        <f t="shared" si="46"/>
        <v>1563.3710775192296</v>
      </c>
    </row>
    <row r="703" spans="1:6" ht="13.8" thickBot="1" x14ac:dyDescent="0.3">
      <c r="A703" s="175" t="s">
        <v>94</v>
      </c>
      <c r="B703" s="47">
        <v>1</v>
      </c>
      <c r="C703" s="43">
        <f t="shared" si="48"/>
        <v>626911.80208521115</v>
      </c>
      <c r="D703" s="43">
        <f t="shared" si="47"/>
        <v>75229.416250225331</v>
      </c>
      <c r="E703" s="44">
        <f t="shared" si="45"/>
        <v>6269.1180208521109</v>
      </c>
      <c r="F703" s="44">
        <f t="shared" si="46"/>
        <v>1567.2795052130277</v>
      </c>
    </row>
    <row r="704" spans="1:6" ht="13.8" thickBot="1" x14ac:dyDescent="0.3">
      <c r="A704" s="169"/>
      <c r="B704" s="45">
        <v>2</v>
      </c>
      <c r="C704" s="43">
        <f t="shared" si="48"/>
        <v>628479.08159042418</v>
      </c>
      <c r="D704" s="43">
        <f t="shared" si="47"/>
        <v>75417.489790850901</v>
      </c>
      <c r="E704" s="44">
        <f t="shared" si="45"/>
        <v>6284.7908159042418</v>
      </c>
      <c r="F704" s="44">
        <f t="shared" si="46"/>
        <v>1571.1977039760604</v>
      </c>
    </row>
    <row r="705" spans="1:6" ht="13.8" thickBot="1" x14ac:dyDescent="0.3">
      <c r="A705" s="169"/>
      <c r="B705" s="45">
        <v>3</v>
      </c>
      <c r="C705" s="43">
        <f t="shared" si="48"/>
        <v>630050.27929440024</v>
      </c>
      <c r="D705" s="43">
        <f t="shared" si="47"/>
        <v>75606.033515328032</v>
      </c>
      <c r="E705" s="44">
        <f t="shared" si="45"/>
        <v>6300.502792944003</v>
      </c>
      <c r="F705" s="44">
        <f t="shared" si="46"/>
        <v>1575.1256982360007</v>
      </c>
    </row>
    <row r="706" spans="1:6" ht="13.8" thickBot="1" x14ac:dyDescent="0.3">
      <c r="A706" s="173"/>
      <c r="B706" s="45">
        <v>4</v>
      </c>
      <c r="C706" s="43">
        <f t="shared" si="48"/>
        <v>631625.40499263629</v>
      </c>
      <c r="D706" s="43">
        <f t="shared" si="47"/>
        <v>75795.048599116359</v>
      </c>
      <c r="E706" s="44">
        <f t="shared" si="45"/>
        <v>6316.2540499263632</v>
      </c>
      <c r="F706" s="44">
        <f t="shared" si="46"/>
        <v>1579.0635124815908</v>
      </c>
    </row>
    <row r="707" spans="1:6" ht="13.8" thickBot="1" x14ac:dyDescent="0.3">
      <c r="A707" s="172" t="s">
        <v>95</v>
      </c>
      <c r="B707" s="45">
        <v>1</v>
      </c>
      <c r="C707" s="43">
        <f t="shared" si="48"/>
        <v>633204.46850511793</v>
      </c>
      <c r="D707" s="43">
        <f t="shared" si="47"/>
        <v>75984.536220614144</v>
      </c>
      <c r="E707" s="44">
        <f t="shared" si="45"/>
        <v>6332.0446850511789</v>
      </c>
      <c r="F707" s="44">
        <f t="shared" si="46"/>
        <v>1583.0111712627947</v>
      </c>
    </row>
    <row r="708" spans="1:6" ht="13.8" thickBot="1" x14ac:dyDescent="0.3">
      <c r="A708" s="169"/>
      <c r="B708" s="45">
        <v>2</v>
      </c>
      <c r="C708" s="43">
        <f t="shared" si="48"/>
        <v>634787.47967638075</v>
      </c>
      <c r="D708" s="43">
        <f t="shared" si="47"/>
        <v>76174.497561165685</v>
      </c>
      <c r="E708" s="44">
        <f t="shared" si="45"/>
        <v>6347.8747967638074</v>
      </c>
      <c r="F708" s="44">
        <f t="shared" si="46"/>
        <v>1586.9686991909518</v>
      </c>
    </row>
    <row r="709" spans="1:6" ht="13.8" thickBot="1" x14ac:dyDescent="0.3">
      <c r="A709" s="169"/>
      <c r="B709" s="45">
        <v>3</v>
      </c>
      <c r="C709" s="43">
        <f t="shared" si="48"/>
        <v>636374.44837557175</v>
      </c>
      <c r="D709" s="43">
        <f t="shared" si="47"/>
        <v>76364.933805068606</v>
      </c>
      <c r="E709" s="44">
        <f t="shared" si="45"/>
        <v>6363.7444837557168</v>
      </c>
      <c r="F709" s="44">
        <f t="shared" si="46"/>
        <v>1590.9361209389292</v>
      </c>
    </row>
    <row r="710" spans="1:6" ht="13.8" thickBot="1" x14ac:dyDescent="0.3">
      <c r="A710" s="173"/>
      <c r="B710" s="45">
        <v>4</v>
      </c>
      <c r="C710" s="43">
        <f t="shared" si="48"/>
        <v>637965.38449651073</v>
      </c>
      <c r="D710" s="43">
        <f t="shared" si="47"/>
        <v>76555.846139581277</v>
      </c>
      <c r="E710" s="44">
        <f t="shared" ref="E710:E773" si="49">D710/12</f>
        <v>6379.6538449651061</v>
      </c>
      <c r="F710" s="44">
        <f t="shared" ref="F710:F773" si="50">E710/4</f>
        <v>1594.9134612412765</v>
      </c>
    </row>
    <row r="711" spans="1:6" ht="13.8" thickBot="1" x14ac:dyDescent="0.3">
      <c r="A711" s="172" t="s">
        <v>96</v>
      </c>
      <c r="B711" s="45">
        <v>1</v>
      </c>
      <c r="C711" s="43">
        <f t="shared" si="48"/>
        <v>639560.29795775202</v>
      </c>
      <c r="D711" s="43">
        <f t="shared" ref="D711:D774" si="51">C711*$F$2</f>
        <v>76747.23575493024</v>
      </c>
      <c r="E711" s="44">
        <f t="shared" si="49"/>
        <v>6395.6029795775203</v>
      </c>
      <c r="F711" s="44">
        <f t="shared" si="50"/>
        <v>1598.9007448943801</v>
      </c>
    </row>
    <row r="712" spans="1:6" ht="13.8" thickBot="1" x14ac:dyDescent="0.3">
      <c r="A712" s="169"/>
      <c r="B712" s="45">
        <v>2</v>
      </c>
      <c r="C712" s="43">
        <f t="shared" si="48"/>
        <v>641159.19870264642</v>
      </c>
      <c r="D712" s="43">
        <f t="shared" si="51"/>
        <v>76939.103844317564</v>
      </c>
      <c r="E712" s="44">
        <f t="shared" si="49"/>
        <v>6411.5919870264634</v>
      </c>
      <c r="F712" s="44">
        <f t="shared" si="50"/>
        <v>1602.8979967566158</v>
      </c>
    </row>
    <row r="713" spans="1:6" ht="13.8" thickBot="1" x14ac:dyDescent="0.3">
      <c r="A713" s="169"/>
      <c r="B713" s="45">
        <v>3</v>
      </c>
      <c r="C713" s="43">
        <f t="shared" si="48"/>
        <v>642762.09669940302</v>
      </c>
      <c r="D713" s="43">
        <f t="shared" si="51"/>
        <v>77131.451603928363</v>
      </c>
      <c r="E713" s="44">
        <f t="shared" si="49"/>
        <v>6427.6209669940299</v>
      </c>
      <c r="F713" s="44">
        <f t="shared" si="50"/>
        <v>1606.9052417485075</v>
      </c>
    </row>
    <row r="714" spans="1:6" ht="13.8" thickBot="1" x14ac:dyDescent="0.3">
      <c r="A714" s="173"/>
      <c r="B714" s="45">
        <v>4</v>
      </c>
      <c r="C714" s="43">
        <f t="shared" si="48"/>
        <v>644369.00194115157</v>
      </c>
      <c r="D714" s="43">
        <f t="shared" si="51"/>
        <v>77324.280232938181</v>
      </c>
      <c r="E714" s="44">
        <f t="shared" si="49"/>
        <v>6443.6900194115151</v>
      </c>
      <c r="F714" s="44">
        <f t="shared" si="50"/>
        <v>1610.9225048528788</v>
      </c>
    </row>
    <row r="715" spans="1:6" ht="13.8" thickBot="1" x14ac:dyDescent="0.3">
      <c r="A715" s="172" t="s">
        <v>97</v>
      </c>
      <c r="B715" s="45">
        <v>1</v>
      </c>
      <c r="C715" s="43">
        <f t="shared" si="48"/>
        <v>645979.92444600444</v>
      </c>
      <c r="D715" s="43">
        <f t="shared" si="51"/>
        <v>77517.590933520536</v>
      </c>
      <c r="E715" s="44">
        <f t="shared" si="49"/>
        <v>6459.799244460045</v>
      </c>
      <c r="F715" s="44">
        <f t="shared" si="50"/>
        <v>1614.9498111150112</v>
      </c>
    </row>
    <row r="716" spans="1:6" ht="13.8" thickBot="1" x14ac:dyDescent="0.3">
      <c r="A716" s="169"/>
      <c r="B716" s="45">
        <v>2</v>
      </c>
      <c r="C716" s="43">
        <f t="shared" si="48"/>
        <v>647594.87425711949</v>
      </c>
      <c r="D716" s="43">
        <f t="shared" si="51"/>
        <v>77711.384910854336</v>
      </c>
      <c r="E716" s="44">
        <f t="shared" si="49"/>
        <v>6475.948742571195</v>
      </c>
      <c r="F716" s="44">
        <f t="shared" si="50"/>
        <v>1618.9871856427987</v>
      </c>
    </row>
    <row r="717" spans="1:6" ht="13.8" thickBot="1" x14ac:dyDescent="0.3">
      <c r="A717" s="169"/>
      <c r="B717" s="45">
        <v>3</v>
      </c>
      <c r="C717" s="43">
        <f t="shared" si="48"/>
        <v>649213.86144276231</v>
      </c>
      <c r="D717" s="43">
        <f t="shared" si="51"/>
        <v>77905.66337313148</v>
      </c>
      <c r="E717" s="44">
        <f t="shared" si="49"/>
        <v>6492.138614427623</v>
      </c>
      <c r="F717" s="44">
        <f t="shared" si="50"/>
        <v>1623.0346536069057</v>
      </c>
    </row>
    <row r="718" spans="1:6" ht="13.8" thickBot="1" x14ac:dyDescent="0.3">
      <c r="A718" s="173"/>
      <c r="B718" s="45">
        <v>4</v>
      </c>
      <c r="C718" s="43">
        <f t="shared" si="48"/>
        <v>650836.89609636925</v>
      </c>
      <c r="D718" s="43">
        <f t="shared" si="51"/>
        <v>78100.427531564303</v>
      </c>
      <c r="E718" s="44">
        <f t="shared" si="49"/>
        <v>6508.3689609636922</v>
      </c>
      <c r="F718" s="44">
        <f t="shared" si="50"/>
        <v>1627.092240240923</v>
      </c>
    </row>
    <row r="719" spans="1:6" ht="13.8" thickBot="1" x14ac:dyDescent="0.3">
      <c r="A719" s="172" t="s">
        <v>98</v>
      </c>
      <c r="B719" s="45">
        <v>1</v>
      </c>
      <c r="C719" s="43">
        <f t="shared" si="48"/>
        <v>652463.98833661014</v>
      </c>
      <c r="D719" s="43">
        <f t="shared" si="51"/>
        <v>78295.678600393221</v>
      </c>
      <c r="E719" s="44">
        <f t="shared" si="49"/>
        <v>6524.6398833661015</v>
      </c>
      <c r="F719" s="44">
        <f t="shared" si="50"/>
        <v>1631.1599708415254</v>
      </c>
    </row>
    <row r="720" spans="1:6" ht="13.8" thickBot="1" x14ac:dyDescent="0.3">
      <c r="A720" s="169"/>
      <c r="B720" s="45">
        <v>2</v>
      </c>
      <c r="C720" s="43">
        <f t="shared" si="48"/>
        <v>654095.14830745163</v>
      </c>
      <c r="D720" s="43">
        <f t="shared" si="51"/>
        <v>78491.417796894195</v>
      </c>
      <c r="E720" s="44">
        <f t="shared" si="49"/>
        <v>6540.9514830745165</v>
      </c>
      <c r="F720" s="44">
        <f t="shared" si="50"/>
        <v>1635.2378707686291</v>
      </c>
    </row>
    <row r="721" spans="1:6" ht="13.8" thickBot="1" x14ac:dyDescent="0.3">
      <c r="A721" s="169"/>
      <c r="B721" s="45">
        <v>3</v>
      </c>
      <c r="C721" s="43">
        <f t="shared" si="48"/>
        <v>655730.38617822027</v>
      </c>
      <c r="D721" s="43">
        <f t="shared" si="51"/>
        <v>78687.646341386426</v>
      </c>
      <c r="E721" s="44">
        <f t="shared" si="49"/>
        <v>6557.3038617822021</v>
      </c>
      <c r="F721" s="44">
        <f t="shared" si="50"/>
        <v>1639.3259654455505</v>
      </c>
    </row>
    <row r="722" spans="1:6" ht="13.8" thickBot="1" x14ac:dyDescent="0.3">
      <c r="A722" s="173"/>
      <c r="B722" s="45">
        <v>4</v>
      </c>
      <c r="C722" s="43">
        <f t="shared" si="48"/>
        <v>657369.71214366588</v>
      </c>
      <c r="D722" s="43">
        <f t="shared" si="51"/>
        <v>78884.365457239895</v>
      </c>
      <c r="E722" s="44">
        <f t="shared" si="49"/>
        <v>6573.6971214366577</v>
      </c>
      <c r="F722" s="44">
        <f t="shared" si="50"/>
        <v>1643.4242803591644</v>
      </c>
    </row>
    <row r="723" spans="1:6" ht="13.8" thickBot="1" x14ac:dyDescent="0.3">
      <c r="A723" s="172" t="s">
        <v>99</v>
      </c>
      <c r="B723" s="45">
        <v>1</v>
      </c>
      <c r="C723" s="43">
        <f t="shared" si="48"/>
        <v>659013.13642402506</v>
      </c>
      <c r="D723" s="43">
        <f t="shared" si="51"/>
        <v>79081.576370883005</v>
      </c>
      <c r="E723" s="44">
        <f t="shared" si="49"/>
        <v>6590.1313642402502</v>
      </c>
      <c r="F723" s="44">
        <f t="shared" si="50"/>
        <v>1647.5328410600625</v>
      </c>
    </row>
    <row r="724" spans="1:6" ht="13.8" thickBot="1" x14ac:dyDescent="0.3">
      <c r="A724" s="169"/>
      <c r="B724" s="45">
        <v>2</v>
      </c>
      <c r="C724" s="43">
        <f t="shared" si="48"/>
        <v>660660.66926508513</v>
      </c>
      <c r="D724" s="43">
        <f t="shared" si="51"/>
        <v>79279.280311810217</v>
      </c>
      <c r="E724" s="44">
        <f t="shared" si="49"/>
        <v>6606.6066926508511</v>
      </c>
      <c r="F724" s="44">
        <f t="shared" si="50"/>
        <v>1651.6516731627128</v>
      </c>
    </row>
    <row r="725" spans="1:6" ht="13.8" thickBot="1" x14ac:dyDescent="0.3">
      <c r="A725" s="169"/>
      <c r="B725" s="45">
        <v>3</v>
      </c>
      <c r="C725" s="43">
        <f t="shared" si="48"/>
        <v>662312.32093824784</v>
      </c>
      <c r="D725" s="43">
        <f t="shared" si="51"/>
        <v>79477.478512589732</v>
      </c>
      <c r="E725" s="44">
        <f t="shared" si="49"/>
        <v>6623.1232093824774</v>
      </c>
      <c r="F725" s="44">
        <f t="shared" si="50"/>
        <v>1655.7808023456193</v>
      </c>
    </row>
    <row r="726" spans="1:6" ht="13.8" thickBot="1" x14ac:dyDescent="0.3">
      <c r="A726" s="173"/>
      <c r="B726" s="45">
        <v>4</v>
      </c>
      <c r="C726" s="43">
        <f t="shared" si="48"/>
        <v>663968.10174059344</v>
      </c>
      <c r="D726" s="43">
        <f t="shared" si="51"/>
        <v>79676.172208871212</v>
      </c>
      <c r="E726" s="44">
        <f t="shared" si="49"/>
        <v>6639.6810174059347</v>
      </c>
      <c r="F726" s="44">
        <f t="shared" si="50"/>
        <v>1659.9202543514837</v>
      </c>
    </row>
    <row r="727" spans="1:6" ht="13.8" thickBot="1" x14ac:dyDescent="0.3">
      <c r="A727" s="172" t="s">
        <v>100</v>
      </c>
      <c r="B727" s="45">
        <v>1</v>
      </c>
      <c r="C727" s="43">
        <f t="shared" si="48"/>
        <v>665628.02199494489</v>
      </c>
      <c r="D727" s="43">
        <f t="shared" si="51"/>
        <v>79875.362639393381</v>
      </c>
      <c r="E727" s="44">
        <f t="shared" si="49"/>
        <v>6656.2802199494481</v>
      </c>
      <c r="F727" s="44">
        <f t="shared" si="50"/>
        <v>1664.070054987362</v>
      </c>
    </row>
    <row r="728" spans="1:6" ht="13.8" thickBot="1" x14ac:dyDescent="0.3">
      <c r="A728" s="169"/>
      <c r="B728" s="45">
        <v>2</v>
      </c>
      <c r="C728" s="43">
        <f t="shared" si="48"/>
        <v>667292.09204993222</v>
      </c>
      <c r="D728" s="43">
        <f t="shared" si="51"/>
        <v>80075.051045991859</v>
      </c>
      <c r="E728" s="44">
        <f t="shared" si="49"/>
        <v>6672.9209204993213</v>
      </c>
      <c r="F728" s="44">
        <f t="shared" si="50"/>
        <v>1668.2302301248303</v>
      </c>
    </row>
    <row r="729" spans="1:6" ht="13.8" thickBot="1" x14ac:dyDescent="0.3">
      <c r="A729" s="169"/>
      <c r="B729" s="45">
        <v>3</v>
      </c>
      <c r="C729" s="43">
        <f t="shared" si="48"/>
        <v>668960.32228005701</v>
      </c>
      <c r="D729" s="43">
        <f t="shared" si="51"/>
        <v>80275.238673606844</v>
      </c>
      <c r="E729" s="44">
        <f t="shared" si="49"/>
        <v>6689.6032228005706</v>
      </c>
      <c r="F729" s="44">
        <f t="shared" si="50"/>
        <v>1672.4008057001427</v>
      </c>
    </row>
    <row r="730" spans="1:6" ht="13.8" thickBot="1" x14ac:dyDescent="0.3">
      <c r="A730" s="173"/>
      <c r="B730" s="45">
        <v>4</v>
      </c>
      <c r="C730" s="43">
        <f t="shared" si="48"/>
        <v>670632.72308575711</v>
      </c>
      <c r="D730" s="43">
        <f t="shared" si="51"/>
        <v>80475.926770290855</v>
      </c>
      <c r="E730" s="44">
        <f t="shared" si="49"/>
        <v>6706.3272308575715</v>
      </c>
      <c r="F730" s="44">
        <f t="shared" si="50"/>
        <v>1676.5818077143929</v>
      </c>
    </row>
    <row r="731" spans="1:6" ht="13.8" thickBot="1" x14ac:dyDescent="0.3">
      <c r="A731" s="172" t="s">
        <v>101</v>
      </c>
      <c r="B731" s="45">
        <v>1</v>
      </c>
      <c r="C731" s="43">
        <f t="shared" si="48"/>
        <v>672309.30489347153</v>
      </c>
      <c r="D731" s="43">
        <f t="shared" si="51"/>
        <v>80677.116587216588</v>
      </c>
      <c r="E731" s="44">
        <f t="shared" si="49"/>
        <v>6723.0930489347156</v>
      </c>
      <c r="F731" s="44">
        <f t="shared" si="50"/>
        <v>1680.7732622336789</v>
      </c>
    </row>
    <row r="732" spans="1:6" ht="13.8" thickBot="1" x14ac:dyDescent="0.3">
      <c r="A732" s="169"/>
      <c r="B732" s="45">
        <v>2</v>
      </c>
      <c r="C732" s="43">
        <f t="shared" si="48"/>
        <v>673990.07815570524</v>
      </c>
      <c r="D732" s="43">
        <f t="shared" si="51"/>
        <v>80878.809378684629</v>
      </c>
      <c r="E732" s="44">
        <f t="shared" si="49"/>
        <v>6739.9007815570521</v>
      </c>
      <c r="F732" s="44">
        <f t="shared" si="50"/>
        <v>1684.975195389263</v>
      </c>
    </row>
    <row r="733" spans="1:6" ht="13.8" thickBot="1" x14ac:dyDescent="0.3">
      <c r="A733" s="169"/>
      <c r="B733" s="45">
        <v>3</v>
      </c>
      <c r="C733" s="43">
        <f t="shared" si="48"/>
        <v>675675.05335109448</v>
      </c>
      <c r="D733" s="43">
        <f t="shared" si="51"/>
        <v>81081.00640213133</v>
      </c>
      <c r="E733" s="44">
        <f t="shared" si="49"/>
        <v>6756.7505335109445</v>
      </c>
      <c r="F733" s="44">
        <f t="shared" si="50"/>
        <v>1689.1876333777361</v>
      </c>
    </row>
    <row r="734" spans="1:6" ht="13.8" thickBot="1" x14ac:dyDescent="0.3">
      <c r="A734" s="173"/>
      <c r="B734" s="45">
        <v>4</v>
      </c>
      <c r="C734" s="43">
        <f t="shared" si="48"/>
        <v>677364.24098447221</v>
      </c>
      <c r="D734" s="43">
        <f t="shared" si="51"/>
        <v>81283.708918136661</v>
      </c>
      <c r="E734" s="44">
        <f t="shared" si="49"/>
        <v>6773.6424098447214</v>
      </c>
      <c r="F734" s="44">
        <f t="shared" si="50"/>
        <v>1693.4106024611804</v>
      </c>
    </row>
    <row r="735" spans="1:6" ht="13.8" thickBot="1" x14ac:dyDescent="0.3">
      <c r="A735" s="172" t="s">
        <v>102</v>
      </c>
      <c r="B735" s="45">
        <v>1</v>
      </c>
      <c r="C735" s="43">
        <f t="shared" si="48"/>
        <v>679057.65158693341</v>
      </c>
      <c r="D735" s="43">
        <f t="shared" si="51"/>
        <v>81486.918190431999</v>
      </c>
      <c r="E735" s="44">
        <f t="shared" si="49"/>
        <v>6790.576515869333</v>
      </c>
      <c r="F735" s="44">
        <f t="shared" si="50"/>
        <v>1697.6441289673332</v>
      </c>
    </row>
    <row r="736" spans="1:6" ht="13.8" thickBot="1" x14ac:dyDescent="0.3">
      <c r="A736" s="169"/>
      <c r="B736" s="45">
        <v>2</v>
      </c>
      <c r="C736" s="43">
        <f t="shared" si="48"/>
        <v>680755.29571590072</v>
      </c>
      <c r="D736" s="43">
        <f t="shared" si="51"/>
        <v>81690.635485908089</v>
      </c>
      <c r="E736" s="44">
        <f t="shared" si="49"/>
        <v>6807.5529571590077</v>
      </c>
      <c r="F736" s="44">
        <f t="shared" si="50"/>
        <v>1701.8882392897519</v>
      </c>
    </row>
    <row r="737" spans="1:6" ht="13.8" thickBot="1" x14ac:dyDescent="0.3">
      <c r="A737" s="169"/>
      <c r="B737" s="45">
        <v>3</v>
      </c>
      <c r="C737" s="43">
        <f t="shared" si="48"/>
        <v>682457.18395519047</v>
      </c>
      <c r="D737" s="43">
        <f t="shared" si="51"/>
        <v>81894.862074622855</v>
      </c>
      <c r="E737" s="44">
        <f t="shared" si="49"/>
        <v>6824.5718395519043</v>
      </c>
      <c r="F737" s="44">
        <f t="shared" si="50"/>
        <v>1706.1429598879761</v>
      </c>
    </row>
    <row r="738" spans="1:6" ht="13.8" thickBot="1" x14ac:dyDescent="0.3">
      <c r="A738" s="173"/>
      <c r="B738" s="45">
        <v>4</v>
      </c>
      <c r="C738" s="43">
        <f t="shared" si="48"/>
        <v>684163.32691507845</v>
      </c>
      <c r="D738" s="43">
        <f t="shared" si="51"/>
        <v>82099.599229809406</v>
      </c>
      <c r="E738" s="44">
        <f t="shared" si="49"/>
        <v>6841.6332691507841</v>
      </c>
      <c r="F738" s="44">
        <f t="shared" si="50"/>
        <v>1710.408317287696</v>
      </c>
    </row>
    <row r="739" spans="1:6" ht="13.8" thickBot="1" x14ac:dyDescent="0.3">
      <c r="A739" s="172" t="s">
        <v>103</v>
      </c>
      <c r="B739" s="45">
        <v>1</v>
      </c>
      <c r="C739" s="43">
        <f t="shared" si="48"/>
        <v>685873.73523236613</v>
      </c>
      <c r="D739" s="43">
        <f t="shared" si="51"/>
        <v>82304.848227883936</v>
      </c>
      <c r="E739" s="44">
        <f t="shared" si="49"/>
        <v>6858.7373523236611</v>
      </c>
      <c r="F739" s="44">
        <f t="shared" si="50"/>
        <v>1714.6843380809153</v>
      </c>
    </row>
    <row r="740" spans="1:6" ht="13.8" thickBot="1" x14ac:dyDescent="0.3">
      <c r="A740" s="169"/>
      <c r="B740" s="45">
        <v>2</v>
      </c>
      <c r="C740" s="43">
        <f t="shared" si="48"/>
        <v>687588.41957044706</v>
      </c>
      <c r="D740" s="43">
        <f t="shared" si="51"/>
        <v>82510.610348453643</v>
      </c>
      <c r="E740" s="44">
        <f t="shared" si="49"/>
        <v>6875.8841957044706</v>
      </c>
      <c r="F740" s="44">
        <f t="shared" si="50"/>
        <v>1718.9710489261176</v>
      </c>
    </row>
    <row r="741" spans="1:6" ht="13.8" thickBot="1" x14ac:dyDescent="0.3">
      <c r="A741" s="169"/>
      <c r="B741" s="45">
        <v>3</v>
      </c>
      <c r="C741" s="43">
        <f t="shared" si="48"/>
        <v>689307.39061937318</v>
      </c>
      <c r="D741" s="43">
        <f t="shared" si="51"/>
        <v>82716.886874324773</v>
      </c>
      <c r="E741" s="44">
        <f t="shared" si="49"/>
        <v>6893.0739061937311</v>
      </c>
      <c r="F741" s="44">
        <f t="shared" si="50"/>
        <v>1723.2684765484328</v>
      </c>
    </row>
    <row r="742" spans="1:6" ht="13.8" thickBot="1" x14ac:dyDescent="0.3">
      <c r="A742" s="173"/>
      <c r="B742" s="45">
        <v>4</v>
      </c>
      <c r="C742" s="43">
        <f t="shared" si="48"/>
        <v>691030.65909592167</v>
      </c>
      <c r="D742" s="43">
        <f t="shared" si="51"/>
        <v>82923.679091510596</v>
      </c>
      <c r="E742" s="44">
        <f t="shared" si="49"/>
        <v>6910.306590959216</v>
      </c>
      <c r="F742" s="44">
        <f t="shared" si="50"/>
        <v>1727.576647739804</v>
      </c>
    </row>
    <row r="743" spans="1:6" ht="13.8" thickBot="1" x14ac:dyDescent="0.3">
      <c r="A743" s="172" t="s">
        <v>104</v>
      </c>
      <c r="B743" s="45">
        <v>1</v>
      </c>
      <c r="C743" s="43">
        <f t="shared" si="48"/>
        <v>692758.23574366153</v>
      </c>
      <c r="D743" s="43">
        <f t="shared" si="51"/>
        <v>83130.98828923938</v>
      </c>
      <c r="E743" s="44">
        <f t="shared" si="49"/>
        <v>6927.582357436615</v>
      </c>
      <c r="F743" s="44">
        <f t="shared" si="50"/>
        <v>1731.8955893591537</v>
      </c>
    </row>
    <row r="744" spans="1:6" ht="13.8" thickBot="1" x14ac:dyDescent="0.3">
      <c r="A744" s="169"/>
      <c r="B744" s="45">
        <v>2</v>
      </c>
      <c r="C744" s="43">
        <f t="shared" si="48"/>
        <v>694490.13133302063</v>
      </c>
      <c r="D744" s="43">
        <f t="shared" si="51"/>
        <v>83338.815759962468</v>
      </c>
      <c r="E744" s="44">
        <f t="shared" si="49"/>
        <v>6944.901313330206</v>
      </c>
      <c r="F744" s="44">
        <f t="shared" si="50"/>
        <v>1736.2253283325515</v>
      </c>
    </row>
    <row r="745" spans="1:6" ht="13.8" thickBot="1" x14ac:dyDescent="0.3">
      <c r="A745" s="169"/>
      <c r="B745" s="45">
        <v>3</v>
      </c>
      <c r="C745" s="43">
        <f t="shared" si="48"/>
        <v>696226.35666135314</v>
      </c>
      <c r="D745" s="43">
        <f t="shared" si="51"/>
        <v>83547.16279936237</v>
      </c>
      <c r="E745" s="44">
        <f t="shared" si="49"/>
        <v>6962.2635666135311</v>
      </c>
      <c r="F745" s="44">
        <f t="shared" si="50"/>
        <v>1740.5658916533828</v>
      </c>
    </row>
    <row r="746" spans="1:6" ht="13.8" thickBot="1" x14ac:dyDescent="0.3">
      <c r="A746" s="173"/>
      <c r="B746" s="45">
        <v>4</v>
      </c>
      <c r="C746" s="43">
        <f t="shared" si="48"/>
        <v>697966.92255300656</v>
      </c>
      <c r="D746" s="43">
        <f t="shared" si="51"/>
        <v>83756.030706360791</v>
      </c>
      <c r="E746" s="44">
        <f t="shared" si="49"/>
        <v>6979.6692255300659</v>
      </c>
      <c r="F746" s="44">
        <f t="shared" si="50"/>
        <v>1744.9173063825165</v>
      </c>
    </row>
    <row r="747" spans="1:6" ht="13.8" thickBot="1" x14ac:dyDescent="0.3">
      <c r="A747" s="172" t="s">
        <v>105</v>
      </c>
      <c r="B747" s="45">
        <v>1</v>
      </c>
      <c r="C747" s="43">
        <f t="shared" si="48"/>
        <v>699711.83985938912</v>
      </c>
      <c r="D747" s="43">
        <f t="shared" si="51"/>
        <v>83965.420783126698</v>
      </c>
      <c r="E747" s="44">
        <f t="shared" si="49"/>
        <v>6997.1183985938915</v>
      </c>
      <c r="F747" s="44">
        <f t="shared" si="50"/>
        <v>1749.2795996484729</v>
      </c>
    </row>
    <row r="748" spans="1:6" ht="13.8" thickBot="1" x14ac:dyDescent="0.3">
      <c r="A748" s="169"/>
      <c r="B748" s="45">
        <v>2</v>
      </c>
      <c r="C748" s="43">
        <f t="shared" si="48"/>
        <v>701461.11945903755</v>
      </c>
      <c r="D748" s="43">
        <f t="shared" si="51"/>
        <v>84175.33433508451</v>
      </c>
      <c r="E748" s="44">
        <f t="shared" si="49"/>
        <v>7014.6111945903758</v>
      </c>
      <c r="F748" s="44">
        <f t="shared" si="50"/>
        <v>1753.652798647594</v>
      </c>
    </row>
    <row r="749" spans="1:6" ht="13.8" thickBot="1" x14ac:dyDescent="0.3">
      <c r="A749" s="169"/>
      <c r="B749" s="45">
        <v>3</v>
      </c>
      <c r="C749" s="43">
        <f t="shared" si="48"/>
        <v>703214.7722576852</v>
      </c>
      <c r="D749" s="43">
        <f t="shared" si="51"/>
        <v>84385.772670922219</v>
      </c>
      <c r="E749" s="44">
        <f t="shared" si="49"/>
        <v>7032.1477225768513</v>
      </c>
      <c r="F749" s="44">
        <f t="shared" si="50"/>
        <v>1758.0369306442128</v>
      </c>
    </row>
    <row r="750" spans="1:6" x14ac:dyDescent="0.25">
      <c r="A750" s="173"/>
      <c r="B750" s="45">
        <v>4</v>
      </c>
      <c r="C750" s="43">
        <f t="shared" si="48"/>
        <v>704972.80918832938</v>
      </c>
      <c r="D750" s="43">
        <f t="shared" si="51"/>
        <v>84596.737102599523</v>
      </c>
      <c r="E750" s="44">
        <f t="shared" si="49"/>
        <v>7049.7280918832939</v>
      </c>
      <c r="F750" s="44">
        <f t="shared" si="50"/>
        <v>1762.4320229708235</v>
      </c>
    </row>
    <row r="751" spans="1:6" ht="13.8" thickBot="1" x14ac:dyDescent="0.3">
      <c r="A751" s="175" t="s">
        <v>106</v>
      </c>
      <c r="B751" s="47">
        <v>1</v>
      </c>
      <c r="C751" s="43">
        <f t="shared" si="48"/>
        <v>706735.24121130025</v>
      </c>
      <c r="D751" s="43">
        <f t="shared" si="51"/>
        <v>84808.228945356022</v>
      </c>
      <c r="E751" s="44">
        <f t="shared" si="49"/>
        <v>7067.3524121130022</v>
      </c>
      <c r="F751" s="44">
        <f t="shared" si="50"/>
        <v>1766.8381030282505</v>
      </c>
    </row>
    <row r="752" spans="1:6" ht="13.8" thickBot="1" x14ac:dyDescent="0.3">
      <c r="A752" s="169"/>
      <c r="B752" s="45">
        <v>2</v>
      </c>
      <c r="C752" s="43">
        <f t="shared" si="48"/>
        <v>708502.0793143285</v>
      </c>
      <c r="D752" s="43">
        <f t="shared" si="51"/>
        <v>85020.249517719421</v>
      </c>
      <c r="E752" s="44">
        <f t="shared" si="49"/>
        <v>7085.0207931432851</v>
      </c>
      <c r="F752" s="44">
        <f t="shared" si="50"/>
        <v>1771.2551982858213</v>
      </c>
    </row>
    <row r="753" spans="1:6" ht="13.8" thickBot="1" x14ac:dyDescent="0.3">
      <c r="A753" s="169"/>
      <c r="B753" s="45">
        <v>3</v>
      </c>
      <c r="C753" s="43">
        <f t="shared" si="48"/>
        <v>710273.3345126143</v>
      </c>
      <c r="D753" s="43">
        <f t="shared" si="51"/>
        <v>85232.800141513711</v>
      </c>
      <c r="E753" s="44">
        <f t="shared" si="49"/>
        <v>7102.7333451261429</v>
      </c>
      <c r="F753" s="44">
        <f t="shared" si="50"/>
        <v>1775.6833362815357</v>
      </c>
    </row>
    <row r="754" spans="1:6" ht="13.8" thickBot="1" x14ac:dyDescent="0.3">
      <c r="A754" s="173"/>
      <c r="B754" s="45">
        <v>4</v>
      </c>
      <c r="C754" s="43">
        <f t="shared" si="48"/>
        <v>712049.01784889586</v>
      </c>
      <c r="D754" s="43">
        <f t="shared" si="51"/>
        <v>85445.882141867507</v>
      </c>
      <c r="E754" s="44">
        <f t="shared" si="49"/>
        <v>7120.4901784889589</v>
      </c>
      <c r="F754" s="44">
        <f t="shared" si="50"/>
        <v>1780.1225446222397</v>
      </c>
    </row>
    <row r="755" spans="1:6" ht="13.8" thickBot="1" x14ac:dyDescent="0.3">
      <c r="A755" s="172" t="s">
        <v>107</v>
      </c>
      <c r="B755" s="45">
        <v>1</v>
      </c>
      <c r="C755" s="43">
        <f t="shared" si="48"/>
        <v>713829.14039351814</v>
      </c>
      <c r="D755" s="43">
        <f t="shared" si="51"/>
        <v>85659.496847222181</v>
      </c>
      <c r="E755" s="44">
        <f t="shared" si="49"/>
        <v>7138.2914039351817</v>
      </c>
      <c r="F755" s="44">
        <f t="shared" si="50"/>
        <v>1784.5728509837954</v>
      </c>
    </row>
    <row r="756" spans="1:6" ht="13.8" thickBot="1" x14ac:dyDescent="0.3">
      <c r="A756" s="169"/>
      <c r="B756" s="45">
        <v>2</v>
      </c>
      <c r="C756" s="43">
        <f t="shared" si="48"/>
        <v>715613.71324450197</v>
      </c>
      <c r="D756" s="43">
        <f t="shared" si="51"/>
        <v>85873.645589340231</v>
      </c>
      <c r="E756" s="44">
        <f t="shared" si="49"/>
        <v>7156.1371324450192</v>
      </c>
      <c r="F756" s="44">
        <f t="shared" si="50"/>
        <v>1789.0342831112548</v>
      </c>
    </row>
    <row r="757" spans="1:6" ht="13.8" thickBot="1" x14ac:dyDescent="0.3">
      <c r="A757" s="169"/>
      <c r="B757" s="45">
        <v>3</v>
      </c>
      <c r="C757" s="43">
        <f t="shared" si="48"/>
        <v>717402.74752761319</v>
      </c>
      <c r="D757" s="43">
        <f t="shared" si="51"/>
        <v>86088.329703313575</v>
      </c>
      <c r="E757" s="44">
        <f t="shared" si="49"/>
        <v>7174.0274752761316</v>
      </c>
      <c r="F757" s="44">
        <f t="shared" si="50"/>
        <v>1793.5068688190329</v>
      </c>
    </row>
    <row r="758" spans="1:6" ht="13.8" thickBot="1" x14ac:dyDescent="0.3">
      <c r="A758" s="173"/>
      <c r="B758" s="45">
        <v>4</v>
      </c>
      <c r="C758" s="43">
        <f t="shared" si="48"/>
        <v>719196.2543964322</v>
      </c>
      <c r="D758" s="43">
        <f t="shared" si="51"/>
        <v>86303.550527571861</v>
      </c>
      <c r="E758" s="44">
        <f t="shared" si="49"/>
        <v>7191.9625439643214</v>
      </c>
      <c r="F758" s="44">
        <f t="shared" si="50"/>
        <v>1797.9906359910804</v>
      </c>
    </row>
    <row r="759" spans="1:6" ht="13.8" thickBot="1" x14ac:dyDescent="0.3">
      <c r="A759" s="172" t="s">
        <v>108</v>
      </c>
      <c r="B759" s="45">
        <v>1</v>
      </c>
      <c r="C759" s="43">
        <f t="shared" ref="C759:C822" si="52">IF(B759=1,C758+F758+$B$3,C758+F758)</f>
        <v>720994.24503242329</v>
      </c>
      <c r="D759" s="43">
        <f t="shared" si="51"/>
        <v>86519.309403890788</v>
      </c>
      <c r="E759" s="44">
        <f t="shared" si="49"/>
        <v>7209.9424503242326</v>
      </c>
      <c r="F759" s="44">
        <f t="shared" si="50"/>
        <v>1802.4856125810581</v>
      </c>
    </row>
    <row r="760" spans="1:6" ht="13.8" thickBot="1" x14ac:dyDescent="0.3">
      <c r="A760" s="169"/>
      <c r="B760" s="45">
        <v>2</v>
      </c>
      <c r="C760" s="43">
        <f t="shared" si="52"/>
        <v>722796.73064500431</v>
      </c>
      <c r="D760" s="43">
        <f t="shared" si="51"/>
        <v>86735.60767740052</v>
      </c>
      <c r="E760" s="44">
        <f t="shared" si="49"/>
        <v>7227.967306450043</v>
      </c>
      <c r="F760" s="44">
        <f t="shared" si="50"/>
        <v>1806.9918266125107</v>
      </c>
    </row>
    <row r="761" spans="1:6" ht="13.8" thickBot="1" x14ac:dyDescent="0.3">
      <c r="A761" s="169"/>
      <c r="B761" s="45">
        <v>3</v>
      </c>
      <c r="C761" s="43">
        <f t="shared" si="52"/>
        <v>724603.72247161681</v>
      </c>
      <c r="D761" s="43">
        <f t="shared" si="51"/>
        <v>86952.446696594008</v>
      </c>
      <c r="E761" s="44">
        <f t="shared" si="49"/>
        <v>7246.0372247161677</v>
      </c>
      <c r="F761" s="44">
        <f t="shared" si="50"/>
        <v>1811.5093061790419</v>
      </c>
    </row>
    <row r="762" spans="1:6" ht="13.8" thickBot="1" x14ac:dyDescent="0.3">
      <c r="A762" s="173"/>
      <c r="B762" s="45">
        <v>4</v>
      </c>
      <c r="C762" s="43">
        <f t="shared" si="52"/>
        <v>726415.23177779582</v>
      </c>
      <c r="D762" s="43">
        <f t="shared" si="51"/>
        <v>87169.827813335491</v>
      </c>
      <c r="E762" s="44">
        <f t="shared" si="49"/>
        <v>7264.1523177779573</v>
      </c>
      <c r="F762" s="44">
        <f t="shared" si="50"/>
        <v>1816.0380794444893</v>
      </c>
    </row>
    <row r="763" spans="1:6" ht="13.8" thickBot="1" x14ac:dyDescent="0.3">
      <c r="A763" s="172" t="s">
        <v>109</v>
      </c>
      <c r="B763" s="45">
        <v>1</v>
      </c>
      <c r="C763" s="43">
        <f t="shared" si="52"/>
        <v>728231.26985724026</v>
      </c>
      <c r="D763" s="43">
        <f t="shared" si="51"/>
        <v>87387.752382868828</v>
      </c>
      <c r="E763" s="44">
        <f t="shared" si="49"/>
        <v>7282.312698572402</v>
      </c>
      <c r="F763" s="44">
        <f t="shared" si="50"/>
        <v>1820.5781746431005</v>
      </c>
    </row>
    <row r="764" spans="1:6" ht="13.8" thickBot="1" x14ac:dyDescent="0.3">
      <c r="A764" s="169"/>
      <c r="B764" s="45">
        <v>2</v>
      </c>
      <c r="C764" s="43">
        <f t="shared" si="52"/>
        <v>730051.84803188336</v>
      </c>
      <c r="D764" s="43">
        <f t="shared" si="51"/>
        <v>87606.221763826004</v>
      </c>
      <c r="E764" s="44">
        <f t="shared" si="49"/>
        <v>7300.518480318834</v>
      </c>
      <c r="F764" s="44">
        <f t="shared" si="50"/>
        <v>1825.1296200797085</v>
      </c>
    </row>
    <row r="765" spans="1:6" ht="13.8" thickBot="1" x14ac:dyDescent="0.3">
      <c r="A765" s="169"/>
      <c r="B765" s="45">
        <v>3</v>
      </c>
      <c r="C765" s="43">
        <f t="shared" si="52"/>
        <v>731876.97765196313</v>
      </c>
      <c r="D765" s="43">
        <f t="shared" si="51"/>
        <v>87825.237318235566</v>
      </c>
      <c r="E765" s="44">
        <f t="shared" si="49"/>
        <v>7318.7697765196308</v>
      </c>
      <c r="F765" s="44">
        <f t="shared" si="50"/>
        <v>1829.6924441299077</v>
      </c>
    </row>
    <row r="766" spans="1:6" ht="13.8" thickBot="1" x14ac:dyDescent="0.3">
      <c r="A766" s="173"/>
      <c r="B766" s="45">
        <v>4</v>
      </c>
      <c r="C766" s="43">
        <f t="shared" si="52"/>
        <v>733706.67009609309</v>
      </c>
      <c r="D766" s="43">
        <f t="shared" si="51"/>
        <v>88044.800411531163</v>
      </c>
      <c r="E766" s="44">
        <f t="shared" si="49"/>
        <v>7337.0667009609306</v>
      </c>
      <c r="F766" s="44">
        <f t="shared" si="50"/>
        <v>1834.2666752402326</v>
      </c>
    </row>
    <row r="767" spans="1:6" ht="13.8" thickBot="1" x14ac:dyDescent="0.3">
      <c r="A767" s="172" t="s">
        <v>110</v>
      </c>
      <c r="B767" s="45">
        <v>1</v>
      </c>
      <c r="C767" s="43">
        <f t="shared" si="52"/>
        <v>735540.93677133333</v>
      </c>
      <c r="D767" s="43">
        <f t="shared" si="51"/>
        <v>88264.912412559992</v>
      </c>
      <c r="E767" s="44">
        <f t="shared" si="49"/>
        <v>7355.4093677133324</v>
      </c>
      <c r="F767" s="44">
        <f t="shared" si="50"/>
        <v>1838.8523419283331</v>
      </c>
    </row>
    <row r="768" spans="1:6" ht="13.8" thickBot="1" x14ac:dyDescent="0.3">
      <c r="A768" s="169"/>
      <c r="B768" s="45">
        <v>2</v>
      </c>
      <c r="C768" s="43">
        <f t="shared" si="52"/>
        <v>737379.78911326162</v>
      </c>
      <c r="D768" s="43">
        <f t="shared" si="51"/>
        <v>88485.574693591392</v>
      </c>
      <c r="E768" s="44">
        <f t="shared" si="49"/>
        <v>7373.7978911326163</v>
      </c>
      <c r="F768" s="44">
        <f t="shared" si="50"/>
        <v>1843.4494727831541</v>
      </c>
    </row>
    <row r="769" spans="1:6" ht="13.8" thickBot="1" x14ac:dyDescent="0.3">
      <c r="A769" s="169"/>
      <c r="B769" s="45">
        <v>3</v>
      </c>
      <c r="C769" s="43">
        <f t="shared" si="52"/>
        <v>739223.23858604475</v>
      </c>
      <c r="D769" s="43">
        <f t="shared" si="51"/>
        <v>88706.788630325362</v>
      </c>
      <c r="E769" s="44">
        <f t="shared" si="49"/>
        <v>7392.2323858604468</v>
      </c>
      <c r="F769" s="44">
        <f t="shared" si="50"/>
        <v>1848.0580964651117</v>
      </c>
    </row>
    <row r="770" spans="1:6" ht="13.8" thickBot="1" x14ac:dyDescent="0.3">
      <c r="A770" s="173"/>
      <c r="B770" s="45">
        <v>4</v>
      </c>
      <c r="C770" s="43">
        <f t="shared" si="52"/>
        <v>741071.29668250983</v>
      </c>
      <c r="D770" s="43">
        <f t="shared" si="51"/>
        <v>88928.555601901171</v>
      </c>
      <c r="E770" s="44">
        <f t="shared" si="49"/>
        <v>7410.7129668250973</v>
      </c>
      <c r="F770" s="44">
        <f t="shared" si="50"/>
        <v>1852.6782417062743</v>
      </c>
    </row>
    <row r="771" spans="1:6" ht="13.8" thickBot="1" x14ac:dyDescent="0.3">
      <c r="A771" s="172" t="s">
        <v>111</v>
      </c>
      <c r="B771" s="45">
        <v>1</v>
      </c>
      <c r="C771" s="43">
        <f t="shared" si="52"/>
        <v>742923.97492421605</v>
      </c>
      <c r="D771" s="43">
        <f t="shared" si="51"/>
        <v>89150.876990905919</v>
      </c>
      <c r="E771" s="44">
        <f t="shared" si="49"/>
        <v>7429.2397492421596</v>
      </c>
      <c r="F771" s="44">
        <f t="shared" si="50"/>
        <v>1857.3099373105399</v>
      </c>
    </row>
    <row r="772" spans="1:6" ht="13.8" thickBot="1" x14ac:dyDescent="0.3">
      <c r="A772" s="169"/>
      <c r="B772" s="45">
        <v>2</v>
      </c>
      <c r="C772" s="43">
        <f t="shared" si="52"/>
        <v>744781.28486152657</v>
      </c>
      <c r="D772" s="43">
        <f t="shared" si="51"/>
        <v>89373.754183383178</v>
      </c>
      <c r="E772" s="44">
        <f t="shared" si="49"/>
        <v>7447.8128486152646</v>
      </c>
      <c r="F772" s="44">
        <f t="shared" si="50"/>
        <v>1861.9532121538161</v>
      </c>
    </row>
    <row r="773" spans="1:6" ht="13.8" thickBot="1" x14ac:dyDescent="0.3">
      <c r="A773" s="169"/>
      <c r="B773" s="45">
        <v>3</v>
      </c>
      <c r="C773" s="43">
        <f t="shared" si="52"/>
        <v>746643.23807368043</v>
      </c>
      <c r="D773" s="43">
        <f t="shared" si="51"/>
        <v>89597.188568841651</v>
      </c>
      <c r="E773" s="44">
        <f t="shared" si="49"/>
        <v>7466.4323807368046</v>
      </c>
      <c r="F773" s="44">
        <f t="shared" si="50"/>
        <v>1866.6080951842011</v>
      </c>
    </row>
    <row r="774" spans="1:6" ht="13.8" thickBot="1" x14ac:dyDescent="0.3">
      <c r="A774" s="173"/>
      <c r="B774" s="45">
        <v>4</v>
      </c>
      <c r="C774" s="43">
        <f t="shared" si="52"/>
        <v>748509.84616886463</v>
      </c>
      <c r="D774" s="43">
        <f t="shared" si="51"/>
        <v>89821.181540263759</v>
      </c>
      <c r="E774" s="44">
        <f t="shared" ref="E774:E837" si="53">D774/12</f>
        <v>7485.0984616886462</v>
      </c>
      <c r="F774" s="44">
        <f t="shared" ref="F774:F837" si="54">E774/4</f>
        <v>1871.2746154221616</v>
      </c>
    </row>
    <row r="775" spans="1:6" ht="13.8" thickBot="1" x14ac:dyDescent="0.3">
      <c r="A775" s="172" t="s">
        <v>112</v>
      </c>
      <c r="B775" s="45">
        <v>1</v>
      </c>
      <c r="C775" s="43">
        <f t="shared" si="52"/>
        <v>750381.12078428676</v>
      </c>
      <c r="D775" s="43">
        <f t="shared" ref="D775:D838" si="55">C775*$F$2</f>
        <v>90045.734494114411</v>
      </c>
      <c r="E775" s="44">
        <f t="shared" si="53"/>
        <v>7503.8112078428676</v>
      </c>
      <c r="F775" s="44">
        <f t="shared" si="54"/>
        <v>1875.9528019607169</v>
      </c>
    </row>
    <row r="776" spans="1:6" ht="13.8" thickBot="1" x14ac:dyDescent="0.3">
      <c r="A776" s="169"/>
      <c r="B776" s="45">
        <v>2</v>
      </c>
      <c r="C776" s="43">
        <f t="shared" si="52"/>
        <v>752257.07358624751</v>
      </c>
      <c r="D776" s="43">
        <f t="shared" si="55"/>
        <v>90270.8488303497</v>
      </c>
      <c r="E776" s="44">
        <f t="shared" si="53"/>
        <v>7522.570735862475</v>
      </c>
      <c r="F776" s="44">
        <f t="shared" si="54"/>
        <v>1880.6426839656187</v>
      </c>
    </row>
    <row r="777" spans="1:6" ht="13.8" thickBot="1" x14ac:dyDescent="0.3">
      <c r="A777" s="169"/>
      <c r="B777" s="45">
        <v>3</v>
      </c>
      <c r="C777" s="43">
        <f t="shared" si="52"/>
        <v>754137.71627021313</v>
      </c>
      <c r="D777" s="43">
        <f t="shared" si="55"/>
        <v>90496.525952425567</v>
      </c>
      <c r="E777" s="44">
        <f t="shared" si="53"/>
        <v>7541.3771627021306</v>
      </c>
      <c r="F777" s="44">
        <f t="shared" si="54"/>
        <v>1885.3442906755326</v>
      </c>
    </row>
    <row r="778" spans="1:6" ht="13.8" thickBot="1" x14ac:dyDescent="0.3">
      <c r="A778" s="173"/>
      <c r="B778" s="45">
        <v>4</v>
      </c>
      <c r="C778" s="43">
        <f t="shared" si="52"/>
        <v>756023.06056088861</v>
      </c>
      <c r="D778" s="43">
        <f t="shared" si="55"/>
        <v>90722.767267306626</v>
      </c>
      <c r="E778" s="44">
        <f t="shared" si="53"/>
        <v>7560.2306056088855</v>
      </c>
      <c r="F778" s="44">
        <f t="shared" si="54"/>
        <v>1890.0576514022214</v>
      </c>
    </row>
    <row r="779" spans="1:6" ht="13.8" thickBot="1" x14ac:dyDescent="0.3">
      <c r="A779" s="172" t="s">
        <v>113</v>
      </c>
      <c r="B779" s="45">
        <v>1</v>
      </c>
      <c r="C779" s="43">
        <f t="shared" si="52"/>
        <v>757913.11821229081</v>
      </c>
      <c r="D779" s="43">
        <f t="shared" si="55"/>
        <v>90949.574185474892</v>
      </c>
      <c r="E779" s="44">
        <f t="shared" si="53"/>
        <v>7579.1311821229074</v>
      </c>
      <c r="F779" s="44">
        <f t="shared" si="54"/>
        <v>1894.7827955307268</v>
      </c>
    </row>
    <row r="780" spans="1:6" ht="13.8" thickBot="1" x14ac:dyDescent="0.3">
      <c r="A780" s="169"/>
      <c r="B780" s="45">
        <v>2</v>
      </c>
      <c r="C780" s="43">
        <f t="shared" si="52"/>
        <v>759807.90100782155</v>
      </c>
      <c r="D780" s="43">
        <f t="shared" si="55"/>
        <v>91176.948120938585</v>
      </c>
      <c r="E780" s="44">
        <f t="shared" si="53"/>
        <v>7598.0790100782151</v>
      </c>
      <c r="F780" s="44">
        <f t="shared" si="54"/>
        <v>1899.5197525195538</v>
      </c>
    </row>
    <row r="781" spans="1:6" ht="13.8" thickBot="1" x14ac:dyDescent="0.3">
      <c r="A781" s="169"/>
      <c r="B781" s="45">
        <v>3</v>
      </c>
      <c r="C781" s="43">
        <f t="shared" si="52"/>
        <v>761707.42076034111</v>
      </c>
      <c r="D781" s="43">
        <f t="shared" si="55"/>
        <v>91404.890491240934</v>
      </c>
      <c r="E781" s="44">
        <f t="shared" si="53"/>
        <v>7617.0742076034112</v>
      </c>
      <c r="F781" s="44">
        <f t="shared" si="54"/>
        <v>1904.2685519008528</v>
      </c>
    </row>
    <row r="782" spans="1:6" ht="13.8" thickBot="1" x14ac:dyDescent="0.3">
      <c r="A782" s="173"/>
      <c r="B782" s="45">
        <v>4</v>
      </c>
      <c r="C782" s="43">
        <f t="shared" si="52"/>
        <v>763611.68931224197</v>
      </c>
      <c r="D782" s="43">
        <f t="shared" si="55"/>
        <v>91633.402717469027</v>
      </c>
      <c r="E782" s="44">
        <f t="shared" si="53"/>
        <v>7636.1168931224192</v>
      </c>
      <c r="F782" s="44">
        <f t="shared" si="54"/>
        <v>1909.0292232806048</v>
      </c>
    </row>
    <row r="783" spans="1:6" ht="13.8" thickBot="1" x14ac:dyDescent="0.3">
      <c r="A783" s="172" t="s">
        <v>114</v>
      </c>
      <c r="B783" s="45">
        <v>1</v>
      </c>
      <c r="C783" s="43">
        <f t="shared" si="52"/>
        <v>765520.71853552258</v>
      </c>
      <c r="D783" s="43">
        <f t="shared" si="55"/>
        <v>91862.486224262713</v>
      </c>
      <c r="E783" s="44">
        <f t="shared" si="53"/>
        <v>7655.2071853552261</v>
      </c>
      <c r="F783" s="44">
        <f t="shared" si="54"/>
        <v>1913.8017963388065</v>
      </c>
    </row>
    <row r="784" spans="1:6" ht="13.8" thickBot="1" x14ac:dyDescent="0.3">
      <c r="A784" s="169"/>
      <c r="B784" s="45">
        <v>2</v>
      </c>
      <c r="C784" s="43">
        <f t="shared" si="52"/>
        <v>767434.52033186133</v>
      </c>
      <c r="D784" s="43">
        <f t="shared" si="55"/>
        <v>92092.14243982335</v>
      </c>
      <c r="E784" s="44">
        <f t="shared" si="53"/>
        <v>7674.3452033186122</v>
      </c>
      <c r="F784" s="44">
        <f t="shared" si="54"/>
        <v>1918.5863008296531</v>
      </c>
    </row>
    <row r="785" spans="1:6" ht="13.8" thickBot="1" x14ac:dyDescent="0.3">
      <c r="A785" s="169"/>
      <c r="B785" s="45">
        <v>3</v>
      </c>
      <c r="C785" s="43">
        <f t="shared" si="52"/>
        <v>769353.10663269099</v>
      </c>
      <c r="D785" s="43">
        <f t="shared" si="55"/>
        <v>92322.372795922915</v>
      </c>
      <c r="E785" s="44">
        <f t="shared" si="53"/>
        <v>7693.5310663269092</v>
      </c>
      <c r="F785" s="44">
        <f t="shared" si="54"/>
        <v>1923.3827665817273</v>
      </c>
    </row>
    <row r="786" spans="1:6" ht="13.8" thickBot="1" x14ac:dyDescent="0.3">
      <c r="A786" s="173"/>
      <c r="B786" s="45">
        <v>4</v>
      </c>
      <c r="C786" s="43">
        <f t="shared" si="52"/>
        <v>771276.48939927272</v>
      </c>
      <c r="D786" s="43">
        <f t="shared" si="55"/>
        <v>92553.178727912717</v>
      </c>
      <c r="E786" s="44">
        <f t="shared" si="53"/>
        <v>7712.7648939927267</v>
      </c>
      <c r="F786" s="44">
        <f t="shared" si="54"/>
        <v>1928.1912234981817</v>
      </c>
    </row>
    <row r="787" spans="1:6" ht="13.8" thickBot="1" x14ac:dyDescent="0.3">
      <c r="A787" s="172" t="s">
        <v>115</v>
      </c>
      <c r="B787" s="45">
        <v>1</v>
      </c>
      <c r="C787" s="43">
        <f t="shared" si="52"/>
        <v>773204.68062277092</v>
      </c>
      <c r="D787" s="43">
        <f t="shared" si="55"/>
        <v>92784.561674732511</v>
      </c>
      <c r="E787" s="44">
        <f t="shared" si="53"/>
        <v>7732.0468062277096</v>
      </c>
      <c r="F787" s="44">
        <f t="shared" si="54"/>
        <v>1933.0117015569274</v>
      </c>
    </row>
    <row r="788" spans="1:6" ht="13.8" thickBot="1" x14ac:dyDescent="0.3">
      <c r="A788" s="169"/>
      <c r="B788" s="45">
        <v>2</v>
      </c>
      <c r="C788" s="43">
        <f t="shared" si="52"/>
        <v>775137.69232432789</v>
      </c>
      <c r="D788" s="43">
        <f t="shared" si="55"/>
        <v>93016.523078919345</v>
      </c>
      <c r="E788" s="44">
        <f t="shared" si="53"/>
        <v>7751.3769232432787</v>
      </c>
      <c r="F788" s="44">
        <f t="shared" si="54"/>
        <v>1937.8442308108197</v>
      </c>
    </row>
    <row r="789" spans="1:6" ht="13.8" thickBot="1" x14ac:dyDescent="0.3">
      <c r="A789" s="169"/>
      <c r="B789" s="45">
        <v>3</v>
      </c>
      <c r="C789" s="43">
        <f t="shared" si="52"/>
        <v>777075.53655513865</v>
      </c>
      <c r="D789" s="43">
        <f t="shared" si="55"/>
        <v>93249.064386616636</v>
      </c>
      <c r="E789" s="44">
        <f t="shared" si="53"/>
        <v>7770.7553655513866</v>
      </c>
      <c r="F789" s="44">
        <f t="shared" si="54"/>
        <v>1942.6888413878467</v>
      </c>
    </row>
    <row r="790" spans="1:6" ht="13.8" thickBot="1" x14ac:dyDescent="0.3">
      <c r="A790" s="173"/>
      <c r="B790" s="45">
        <v>4</v>
      </c>
      <c r="C790" s="43">
        <f t="shared" si="52"/>
        <v>779018.22539652651</v>
      </c>
      <c r="D790" s="43">
        <f t="shared" si="55"/>
        <v>93482.187047583182</v>
      </c>
      <c r="E790" s="44">
        <f t="shared" si="53"/>
        <v>7790.1822539652649</v>
      </c>
      <c r="F790" s="44">
        <f t="shared" si="54"/>
        <v>1947.5455634913162</v>
      </c>
    </row>
    <row r="791" spans="1:6" ht="13.8" thickBot="1" x14ac:dyDescent="0.3">
      <c r="A791" s="172" t="s">
        <v>116</v>
      </c>
      <c r="B791" s="45">
        <v>1</v>
      </c>
      <c r="C791" s="43">
        <f t="shared" si="52"/>
        <v>780965.77096001781</v>
      </c>
      <c r="D791" s="43">
        <f t="shared" si="55"/>
        <v>93715.89251520214</v>
      </c>
      <c r="E791" s="44">
        <f t="shared" si="53"/>
        <v>7809.6577096001784</v>
      </c>
      <c r="F791" s="44">
        <f t="shared" si="54"/>
        <v>1952.4144274000446</v>
      </c>
    </row>
    <row r="792" spans="1:6" ht="13.8" thickBot="1" x14ac:dyDescent="0.3">
      <c r="A792" s="169"/>
      <c r="B792" s="45">
        <v>2</v>
      </c>
      <c r="C792" s="43">
        <f t="shared" si="52"/>
        <v>782918.18538741791</v>
      </c>
      <c r="D792" s="43">
        <f t="shared" si="55"/>
        <v>93950.182246490149</v>
      </c>
      <c r="E792" s="44">
        <f t="shared" si="53"/>
        <v>7829.1818538741791</v>
      </c>
      <c r="F792" s="44">
        <f t="shared" si="54"/>
        <v>1957.2954634685448</v>
      </c>
    </row>
    <row r="793" spans="1:6" ht="13.8" thickBot="1" x14ac:dyDescent="0.3">
      <c r="A793" s="169"/>
      <c r="B793" s="45">
        <v>3</v>
      </c>
      <c r="C793" s="43">
        <f t="shared" si="52"/>
        <v>784875.48085088644</v>
      </c>
      <c r="D793" s="43">
        <f t="shared" si="55"/>
        <v>94185.057702106365</v>
      </c>
      <c r="E793" s="44">
        <f t="shared" si="53"/>
        <v>7848.7548085088638</v>
      </c>
      <c r="F793" s="44">
        <f t="shared" si="54"/>
        <v>1962.1887021272159</v>
      </c>
    </row>
    <row r="794" spans="1:6" ht="13.8" thickBot="1" x14ac:dyDescent="0.3">
      <c r="A794" s="173"/>
      <c r="B794" s="45">
        <v>4</v>
      </c>
      <c r="C794" s="43">
        <f t="shared" si="52"/>
        <v>786837.66955301363</v>
      </c>
      <c r="D794" s="43">
        <f t="shared" si="55"/>
        <v>94420.520346361634</v>
      </c>
      <c r="E794" s="44">
        <f t="shared" si="53"/>
        <v>7868.3766955301362</v>
      </c>
      <c r="F794" s="44">
        <f t="shared" si="54"/>
        <v>1967.0941738825341</v>
      </c>
    </row>
    <row r="795" spans="1:6" ht="13.8" thickBot="1" x14ac:dyDescent="0.3">
      <c r="A795" s="172" t="s">
        <v>117</v>
      </c>
      <c r="B795" s="45">
        <v>1</v>
      </c>
      <c r="C795" s="43">
        <f t="shared" si="52"/>
        <v>788804.76372689614</v>
      </c>
      <c r="D795" s="43">
        <f t="shared" si="55"/>
        <v>94656.571647227538</v>
      </c>
      <c r="E795" s="44">
        <f t="shared" si="53"/>
        <v>7888.0476372689618</v>
      </c>
      <c r="F795" s="44">
        <f t="shared" si="54"/>
        <v>1972.0119093172405</v>
      </c>
    </row>
    <row r="796" spans="1:6" ht="13.8" thickBot="1" x14ac:dyDescent="0.3">
      <c r="A796" s="169"/>
      <c r="B796" s="45">
        <v>2</v>
      </c>
      <c r="C796" s="43">
        <f t="shared" si="52"/>
        <v>790776.77563621337</v>
      </c>
      <c r="D796" s="43">
        <f t="shared" si="55"/>
        <v>94893.213076345593</v>
      </c>
      <c r="E796" s="44">
        <f t="shared" si="53"/>
        <v>7907.7677563621328</v>
      </c>
      <c r="F796" s="44">
        <f t="shared" si="54"/>
        <v>1976.9419390905332</v>
      </c>
    </row>
    <row r="797" spans="1:6" ht="13.8" thickBot="1" x14ac:dyDescent="0.3">
      <c r="A797" s="169"/>
      <c r="B797" s="45">
        <v>3</v>
      </c>
      <c r="C797" s="43">
        <f t="shared" si="52"/>
        <v>792753.71757530386</v>
      </c>
      <c r="D797" s="43">
        <f t="shared" si="55"/>
        <v>95130.446109036464</v>
      </c>
      <c r="E797" s="44">
        <f t="shared" si="53"/>
        <v>7927.5371757530384</v>
      </c>
      <c r="F797" s="44">
        <f t="shared" si="54"/>
        <v>1981.8842939382596</v>
      </c>
    </row>
    <row r="798" spans="1:6" x14ac:dyDescent="0.25">
      <c r="A798" s="173"/>
      <c r="B798" s="45">
        <v>4</v>
      </c>
      <c r="C798" s="43">
        <f t="shared" si="52"/>
        <v>794735.60186924215</v>
      </c>
      <c r="D798" s="43">
        <f t="shared" si="55"/>
        <v>95368.272224309054</v>
      </c>
      <c r="E798" s="44">
        <f t="shared" si="53"/>
        <v>7947.3560186924215</v>
      </c>
      <c r="F798" s="44">
        <f t="shared" si="54"/>
        <v>1986.8390046731054</v>
      </c>
    </row>
    <row r="799" spans="1:6" ht="13.8" thickBot="1" x14ac:dyDescent="0.3">
      <c r="A799" s="175" t="s">
        <v>118</v>
      </c>
      <c r="B799" s="47">
        <v>1</v>
      </c>
      <c r="C799" s="43">
        <f t="shared" si="52"/>
        <v>796722.44087391521</v>
      </c>
      <c r="D799" s="43">
        <f t="shared" si="55"/>
        <v>95606.692904869822</v>
      </c>
      <c r="E799" s="44">
        <f t="shared" si="53"/>
        <v>7967.2244087391518</v>
      </c>
      <c r="F799" s="44">
        <f t="shared" si="54"/>
        <v>1991.806102184788</v>
      </c>
    </row>
    <row r="800" spans="1:6" ht="13.8" thickBot="1" x14ac:dyDescent="0.3">
      <c r="A800" s="169"/>
      <c r="B800" s="45">
        <v>2</v>
      </c>
      <c r="C800" s="43">
        <f t="shared" si="52"/>
        <v>798714.24697610002</v>
      </c>
      <c r="D800" s="43">
        <f t="shared" si="55"/>
        <v>95845.709637131993</v>
      </c>
      <c r="E800" s="44">
        <f t="shared" si="53"/>
        <v>7987.1424697609991</v>
      </c>
      <c r="F800" s="44">
        <f t="shared" si="54"/>
        <v>1996.7856174402498</v>
      </c>
    </row>
    <row r="801" spans="1:6" ht="13.8" thickBot="1" x14ac:dyDescent="0.3">
      <c r="A801" s="169"/>
      <c r="B801" s="45">
        <v>3</v>
      </c>
      <c r="C801" s="43">
        <f t="shared" si="52"/>
        <v>800711.03259354027</v>
      </c>
      <c r="D801" s="43">
        <f t="shared" si="55"/>
        <v>96085.323911224827</v>
      </c>
      <c r="E801" s="44">
        <f t="shared" si="53"/>
        <v>8007.1103259354022</v>
      </c>
      <c r="F801" s="44">
        <f t="shared" si="54"/>
        <v>2001.7775814838506</v>
      </c>
    </row>
    <row r="802" spans="1:6" ht="13.8" thickBot="1" x14ac:dyDescent="0.3">
      <c r="A802" s="173"/>
      <c r="B802" s="45">
        <v>4</v>
      </c>
      <c r="C802" s="43">
        <f t="shared" si="52"/>
        <v>802712.81017502409</v>
      </c>
      <c r="D802" s="43">
        <f t="shared" si="55"/>
        <v>96325.537221002887</v>
      </c>
      <c r="E802" s="44">
        <f t="shared" si="53"/>
        <v>8027.1281017502406</v>
      </c>
      <c r="F802" s="44">
        <f t="shared" si="54"/>
        <v>2006.7820254375602</v>
      </c>
    </row>
    <row r="803" spans="1:6" ht="13.8" thickBot="1" x14ac:dyDescent="0.3">
      <c r="A803" s="172" t="s">
        <v>119</v>
      </c>
      <c r="B803" s="45">
        <v>1</v>
      </c>
      <c r="C803" s="43">
        <f t="shared" si="52"/>
        <v>804719.59220046166</v>
      </c>
      <c r="D803" s="43">
        <f t="shared" si="55"/>
        <v>96566.351064055401</v>
      </c>
      <c r="E803" s="44">
        <f t="shared" si="53"/>
        <v>8047.1959220046165</v>
      </c>
      <c r="F803" s="44">
        <f t="shared" si="54"/>
        <v>2011.7989805011541</v>
      </c>
    </row>
    <row r="804" spans="1:6" ht="13.8" thickBot="1" x14ac:dyDescent="0.3">
      <c r="A804" s="169"/>
      <c r="B804" s="45">
        <v>2</v>
      </c>
      <c r="C804" s="43">
        <f t="shared" si="52"/>
        <v>806731.39118096279</v>
      </c>
      <c r="D804" s="43">
        <f t="shared" si="55"/>
        <v>96807.766941715527</v>
      </c>
      <c r="E804" s="44">
        <f t="shared" si="53"/>
        <v>8067.3139118096269</v>
      </c>
      <c r="F804" s="44">
        <f t="shared" si="54"/>
        <v>2016.8284779524067</v>
      </c>
    </row>
    <row r="805" spans="1:6" ht="13.8" thickBot="1" x14ac:dyDescent="0.3">
      <c r="A805" s="169"/>
      <c r="B805" s="45">
        <v>3</v>
      </c>
      <c r="C805" s="43">
        <f t="shared" si="52"/>
        <v>808748.21965891519</v>
      </c>
      <c r="D805" s="43">
        <f t="shared" si="55"/>
        <v>97049.786359069825</v>
      </c>
      <c r="E805" s="44">
        <f t="shared" si="53"/>
        <v>8087.4821965891524</v>
      </c>
      <c r="F805" s="44">
        <f t="shared" si="54"/>
        <v>2021.8705491472881</v>
      </c>
    </row>
    <row r="806" spans="1:6" ht="13.8" thickBot="1" x14ac:dyDescent="0.3">
      <c r="A806" s="173"/>
      <c r="B806" s="45">
        <v>4</v>
      </c>
      <c r="C806" s="43">
        <f t="shared" si="52"/>
        <v>810770.09020806244</v>
      </c>
      <c r="D806" s="43">
        <f t="shared" si="55"/>
        <v>97292.41082496749</v>
      </c>
      <c r="E806" s="44">
        <f t="shared" si="53"/>
        <v>8107.7009020806245</v>
      </c>
      <c r="F806" s="44">
        <f t="shared" si="54"/>
        <v>2026.9252255201561</v>
      </c>
    </row>
    <row r="807" spans="1:6" ht="13.8" thickBot="1" x14ac:dyDescent="0.3">
      <c r="A807" s="172" t="s">
        <v>120</v>
      </c>
      <c r="B807" s="45">
        <v>1</v>
      </c>
      <c r="C807" s="43">
        <f t="shared" si="52"/>
        <v>812797.01543358259</v>
      </c>
      <c r="D807" s="43">
        <f t="shared" si="55"/>
        <v>97535.641852029905</v>
      </c>
      <c r="E807" s="44">
        <f t="shared" si="53"/>
        <v>8127.9701543358251</v>
      </c>
      <c r="F807" s="44">
        <f t="shared" si="54"/>
        <v>2031.9925385839563</v>
      </c>
    </row>
    <row r="808" spans="1:6" ht="13.8" thickBot="1" x14ac:dyDescent="0.3">
      <c r="A808" s="169"/>
      <c r="B808" s="45">
        <v>2</v>
      </c>
      <c r="C808" s="43">
        <f t="shared" si="52"/>
        <v>814829.00797216652</v>
      </c>
      <c r="D808" s="43">
        <f t="shared" si="55"/>
        <v>97779.480956659972</v>
      </c>
      <c r="E808" s="44">
        <f t="shared" si="53"/>
        <v>8148.2900797216644</v>
      </c>
      <c r="F808" s="44">
        <f t="shared" si="54"/>
        <v>2037.0725199304161</v>
      </c>
    </row>
    <row r="809" spans="1:6" ht="13.8" thickBot="1" x14ac:dyDescent="0.3">
      <c r="A809" s="169"/>
      <c r="B809" s="45">
        <v>3</v>
      </c>
      <c r="C809" s="43">
        <f t="shared" si="52"/>
        <v>816866.08049209695</v>
      </c>
      <c r="D809" s="43">
        <f t="shared" si="55"/>
        <v>98023.929659051631</v>
      </c>
      <c r="E809" s="44">
        <f t="shared" si="53"/>
        <v>8168.660804920969</v>
      </c>
      <c r="F809" s="44">
        <f t="shared" si="54"/>
        <v>2042.1652012302422</v>
      </c>
    </row>
    <row r="810" spans="1:6" ht="13.8" thickBot="1" x14ac:dyDescent="0.3">
      <c r="A810" s="173"/>
      <c r="B810" s="45">
        <v>4</v>
      </c>
      <c r="C810" s="43">
        <f t="shared" si="52"/>
        <v>818908.24569332716</v>
      </c>
      <c r="D810" s="43">
        <f t="shared" si="55"/>
        <v>98268.989483199257</v>
      </c>
      <c r="E810" s="44">
        <f t="shared" si="53"/>
        <v>8189.0824569332717</v>
      </c>
      <c r="F810" s="44">
        <f t="shared" si="54"/>
        <v>2047.2706142333179</v>
      </c>
    </row>
    <row r="811" spans="1:6" ht="13.8" thickBot="1" x14ac:dyDescent="0.3">
      <c r="A811" s="172" t="s">
        <v>121</v>
      </c>
      <c r="B811" s="45">
        <v>1</v>
      </c>
      <c r="C811" s="43">
        <f t="shared" si="52"/>
        <v>820955.51630756049</v>
      </c>
      <c r="D811" s="43">
        <f t="shared" si="55"/>
        <v>98514.66195690725</v>
      </c>
      <c r="E811" s="44">
        <f t="shared" si="53"/>
        <v>8209.5551630756036</v>
      </c>
      <c r="F811" s="44">
        <f t="shared" si="54"/>
        <v>2052.3887907689009</v>
      </c>
    </row>
    <row r="812" spans="1:6" ht="13.8" thickBot="1" x14ac:dyDescent="0.3">
      <c r="A812" s="169"/>
      <c r="B812" s="45">
        <v>2</v>
      </c>
      <c r="C812" s="43">
        <f t="shared" si="52"/>
        <v>823007.90509832941</v>
      </c>
      <c r="D812" s="43">
        <f t="shared" si="55"/>
        <v>98760.948611799526</v>
      </c>
      <c r="E812" s="44">
        <f t="shared" si="53"/>
        <v>8230.0790509832932</v>
      </c>
      <c r="F812" s="44">
        <f t="shared" si="54"/>
        <v>2057.5197627458233</v>
      </c>
    </row>
    <row r="813" spans="1:6" ht="13.8" thickBot="1" x14ac:dyDescent="0.3">
      <c r="A813" s="169"/>
      <c r="B813" s="45">
        <v>3</v>
      </c>
      <c r="C813" s="43">
        <f t="shared" si="52"/>
        <v>825065.42486107524</v>
      </c>
      <c r="D813" s="43">
        <f t="shared" si="55"/>
        <v>99007.85098332903</v>
      </c>
      <c r="E813" s="44">
        <f t="shared" si="53"/>
        <v>8250.6542486107519</v>
      </c>
      <c r="F813" s="44">
        <f t="shared" si="54"/>
        <v>2062.663562152688</v>
      </c>
    </row>
    <row r="814" spans="1:6" ht="13.8" thickBot="1" x14ac:dyDescent="0.3">
      <c r="A814" s="173"/>
      <c r="B814" s="45">
        <v>4</v>
      </c>
      <c r="C814" s="43">
        <f t="shared" si="52"/>
        <v>827128.08842322789</v>
      </c>
      <c r="D814" s="43">
        <f t="shared" si="55"/>
        <v>99255.370610787344</v>
      </c>
      <c r="E814" s="44">
        <f t="shared" si="53"/>
        <v>8271.2808842322793</v>
      </c>
      <c r="F814" s="44">
        <f t="shared" si="54"/>
        <v>2067.8202210580698</v>
      </c>
    </row>
    <row r="815" spans="1:6" ht="13.8" thickBot="1" x14ac:dyDescent="0.3">
      <c r="A815" s="172" t="s">
        <v>122</v>
      </c>
      <c r="B815" s="45">
        <v>1</v>
      </c>
      <c r="C815" s="43">
        <f t="shared" si="52"/>
        <v>829195.90864428598</v>
      </c>
      <c r="D815" s="43">
        <f t="shared" si="55"/>
        <v>99503.509037314318</v>
      </c>
      <c r="E815" s="44">
        <f t="shared" si="53"/>
        <v>8291.9590864428592</v>
      </c>
      <c r="F815" s="44">
        <f t="shared" si="54"/>
        <v>2072.9897716107148</v>
      </c>
    </row>
    <row r="816" spans="1:6" ht="13.8" thickBot="1" x14ac:dyDescent="0.3">
      <c r="A816" s="169"/>
      <c r="B816" s="45">
        <v>2</v>
      </c>
      <c r="C816" s="43">
        <f t="shared" si="52"/>
        <v>831268.89841589669</v>
      </c>
      <c r="D816" s="43">
        <f t="shared" si="55"/>
        <v>99752.2678099076</v>
      </c>
      <c r="E816" s="44">
        <f t="shared" si="53"/>
        <v>8312.6889841589673</v>
      </c>
      <c r="F816" s="44">
        <f t="shared" si="54"/>
        <v>2078.1722460397418</v>
      </c>
    </row>
    <row r="817" spans="1:6" ht="13.8" thickBot="1" x14ac:dyDescent="0.3">
      <c r="A817" s="169"/>
      <c r="B817" s="45">
        <v>3</v>
      </c>
      <c r="C817" s="43">
        <f t="shared" si="52"/>
        <v>833347.07066193642</v>
      </c>
      <c r="D817" s="43">
        <f t="shared" si="55"/>
        <v>100001.64847943236</v>
      </c>
      <c r="E817" s="44">
        <f t="shared" si="53"/>
        <v>8333.4707066193641</v>
      </c>
      <c r="F817" s="44">
        <f t="shared" si="54"/>
        <v>2083.367676654841</v>
      </c>
    </row>
    <row r="818" spans="1:6" ht="13.8" thickBot="1" x14ac:dyDescent="0.3">
      <c r="A818" s="173"/>
      <c r="B818" s="45">
        <v>4</v>
      </c>
      <c r="C818" s="43">
        <f t="shared" si="52"/>
        <v>835430.43833859125</v>
      </c>
      <c r="D818" s="43">
        <f t="shared" si="55"/>
        <v>100251.65260063094</v>
      </c>
      <c r="E818" s="44">
        <f t="shared" si="53"/>
        <v>8354.3043833859119</v>
      </c>
      <c r="F818" s="44">
        <f t="shared" si="54"/>
        <v>2088.576095846478</v>
      </c>
    </row>
    <row r="819" spans="1:6" ht="13.8" thickBot="1" x14ac:dyDescent="0.3">
      <c r="A819" s="172" t="s">
        <v>123</v>
      </c>
      <c r="B819" s="45">
        <v>1</v>
      </c>
      <c r="C819" s="43">
        <f t="shared" si="52"/>
        <v>837519.01443443773</v>
      </c>
      <c r="D819" s="43">
        <f t="shared" si="55"/>
        <v>100502.28173213253</v>
      </c>
      <c r="E819" s="44">
        <f t="shared" si="53"/>
        <v>8375.1901443443767</v>
      </c>
      <c r="F819" s="44">
        <f t="shared" si="54"/>
        <v>2093.7975360860942</v>
      </c>
    </row>
    <row r="820" spans="1:6" ht="13.8" thickBot="1" x14ac:dyDescent="0.3">
      <c r="A820" s="169"/>
      <c r="B820" s="45">
        <v>2</v>
      </c>
      <c r="C820" s="43">
        <f t="shared" si="52"/>
        <v>839612.81197052379</v>
      </c>
      <c r="D820" s="43">
        <f t="shared" si="55"/>
        <v>100753.53743646285</v>
      </c>
      <c r="E820" s="44">
        <f t="shared" si="53"/>
        <v>8396.1281197052376</v>
      </c>
      <c r="F820" s="44">
        <f t="shared" si="54"/>
        <v>2099.0320299263094</v>
      </c>
    </row>
    <row r="821" spans="1:6" ht="13.8" thickBot="1" x14ac:dyDescent="0.3">
      <c r="A821" s="169"/>
      <c r="B821" s="45">
        <v>3</v>
      </c>
      <c r="C821" s="43">
        <f t="shared" si="52"/>
        <v>841711.8440004501</v>
      </c>
      <c r="D821" s="43">
        <f t="shared" si="55"/>
        <v>101005.42128005401</v>
      </c>
      <c r="E821" s="44">
        <f t="shared" si="53"/>
        <v>8417.1184400045004</v>
      </c>
      <c r="F821" s="44">
        <f t="shared" si="54"/>
        <v>2104.2796100011251</v>
      </c>
    </row>
    <row r="822" spans="1:6" ht="13.8" thickBot="1" x14ac:dyDescent="0.3">
      <c r="A822" s="173"/>
      <c r="B822" s="45">
        <v>4</v>
      </c>
      <c r="C822" s="43">
        <f t="shared" si="52"/>
        <v>843816.12361045124</v>
      </c>
      <c r="D822" s="43">
        <f t="shared" si="55"/>
        <v>101257.93483325414</v>
      </c>
      <c r="E822" s="44">
        <f t="shared" si="53"/>
        <v>8438.1612361045118</v>
      </c>
      <c r="F822" s="44">
        <f t="shared" si="54"/>
        <v>2109.5403090261279</v>
      </c>
    </row>
    <row r="823" spans="1:6" ht="13.8" thickBot="1" x14ac:dyDescent="0.3">
      <c r="A823" s="172" t="s">
        <v>124</v>
      </c>
      <c r="B823" s="45">
        <v>1</v>
      </c>
      <c r="C823" s="43">
        <f t="shared" ref="C823:C886" si="56">IF(B823=1,C822+F822+$B$3,C822+F822)</f>
        <v>845925.66391947737</v>
      </c>
      <c r="D823" s="43">
        <f t="shared" si="55"/>
        <v>101511.07967033728</v>
      </c>
      <c r="E823" s="44">
        <f t="shared" si="53"/>
        <v>8459.256639194773</v>
      </c>
      <c r="F823" s="44">
        <f t="shared" si="54"/>
        <v>2114.8141597986933</v>
      </c>
    </row>
    <row r="824" spans="1:6" ht="13.8" thickBot="1" x14ac:dyDescent="0.3">
      <c r="A824" s="169"/>
      <c r="B824" s="45">
        <v>2</v>
      </c>
      <c r="C824" s="43">
        <f t="shared" si="56"/>
        <v>848040.47807927604</v>
      </c>
      <c r="D824" s="43">
        <f t="shared" si="55"/>
        <v>101764.85736951312</v>
      </c>
      <c r="E824" s="44">
        <f t="shared" si="53"/>
        <v>8480.40478079276</v>
      </c>
      <c r="F824" s="44">
        <f t="shared" si="54"/>
        <v>2120.10119519819</v>
      </c>
    </row>
    <row r="825" spans="1:6" ht="13.8" thickBot="1" x14ac:dyDescent="0.3">
      <c r="A825" s="169"/>
      <c r="B825" s="45">
        <v>3</v>
      </c>
      <c r="C825" s="43">
        <f t="shared" si="56"/>
        <v>850160.57927447418</v>
      </c>
      <c r="D825" s="43">
        <f t="shared" si="55"/>
        <v>102019.26951293689</v>
      </c>
      <c r="E825" s="44">
        <f t="shared" si="53"/>
        <v>8501.6057927447418</v>
      </c>
      <c r="F825" s="44">
        <f t="shared" si="54"/>
        <v>2125.4014481861855</v>
      </c>
    </row>
    <row r="826" spans="1:6" ht="13.8" thickBot="1" x14ac:dyDescent="0.3">
      <c r="A826" s="173"/>
      <c r="B826" s="45">
        <v>4</v>
      </c>
      <c r="C826" s="43">
        <f t="shared" si="56"/>
        <v>852285.98072266032</v>
      </c>
      <c r="D826" s="43">
        <f t="shared" si="55"/>
        <v>102274.31768671924</v>
      </c>
      <c r="E826" s="44">
        <f t="shared" si="53"/>
        <v>8522.8598072266032</v>
      </c>
      <c r="F826" s="44">
        <f t="shared" si="54"/>
        <v>2130.7149518066508</v>
      </c>
    </row>
    <row r="827" spans="1:6" ht="13.8" thickBot="1" x14ac:dyDescent="0.3">
      <c r="A827" s="172" t="s">
        <v>125</v>
      </c>
      <c r="B827" s="45">
        <v>1</v>
      </c>
      <c r="C827" s="43">
        <f t="shared" si="56"/>
        <v>854416.69567446702</v>
      </c>
      <c r="D827" s="43">
        <f t="shared" si="55"/>
        <v>102530.00348093604</v>
      </c>
      <c r="E827" s="44">
        <f t="shared" si="53"/>
        <v>8544.1669567446697</v>
      </c>
      <c r="F827" s="44">
        <f t="shared" si="54"/>
        <v>2136.0417391861674</v>
      </c>
    </row>
    <row r="828" spans="1:6" ht="13.8" thickBot="1" x14ac:dyDescent="0.3">
      <c r="A828" s="169"/>
      <c r="B828" s="45">
        <v>2</v>
      </c>
      <c r="C828" s="43">
        <f t="shared" si="56"/>
        <v>856552.73741365317</v>
      </c>
      <c r="D828" s="43">
        <f t="shared" si="55"/>
        <v>102786.32848963837</v>
      </c>
      <c r="E828" s="44">
        <f t="shared" si="53"/>
        <v>8565.5273741365309</v>
      </c>
      <c r="F828" s="44">
        <f t="shared" si="54"/>
        <v>2141.3818435341327</v>
      </c>
    </row>
    <row r="829" spans="1:6" ht="13.8" thickBot="1" x14ac:dyDescent="0.3">
      <c r="A829" s="169"/>
      <c r="B829" s="45">
        <v>3</v>
      </c>
      <c r="C829" s="43">
        <f t="shared" si="56"/>
        <v>858694.11925718735</v>
      </c>
      <c r="D829" s="43">
        <f t="shared" si="55"/>
        <v>103043.29431086247</v>
      </c>
      <c r="E829" s="44">
        <f t="shared" si="53"/>
        <v>8586.9411925718723</v>
      </c>
      <c r="F829" s="44">
        <f t="shared" si="54"/>
        <v>2146.7352981429681</v>
      </c>
    </row>
    <row r="830" spans="1:6" ht="13.8" thickBot="1" x14ac:dyDescent="0.3">
      <c r="A830" s="173"/>
      <c r="B830" s="45">
        <v>4</v>
      </c>
      <c r="C830" s="43">
        <f t="shared" si="56"/>
        <v>860840.85455533036</v>
      </c>
      <c r="D830" s="43">
        <f t="shared" si="55"/>
        <v>103300.90254663964</v>
      </c>
      <c r="E830" s="44">
        <f t="shared" si="53"/>
        <v>8608.4085455533041</v>
      </c>
      <c r="F830" s="44">
        <f t="shared" si="54"/>
        <v>2152.102136388326</v>
      </c>
    </row>
    <row r="831" spans="1:6" ht="13.8" thickBot="1" x14ac:dyDescent="0.3">
      <c r="A831" s="172" t="s">
        <v>126</v>
      </c>
      <c r="B831" s="45">
        <v>1</v>
      </c>
      <c r="C831" s="43">
        <f t="shared" si="56"/>
        <v>862992.95669171866</v>
      </c>
      <c r="D831" s="43">
        <f t="shared" si="55"/>
        <v>103559.15480300624</v>
      </c>
      <c r="E831" s="44">
        <f t="shared" si="53"/>
        <v>8629.9295669171861</v>
      </c>
      <c r="F831" s="44">
        <f t="shared" si="54"/>
        <v>2157.4823917292965</v>
      </c>
    </row>
    <row r="832" spans="1:6" ht="13.8" thickBot="1" x14ac:dyDescent="0.3">
      <c r="A832" s="169"/>
      <c r="B832" s="45">
        <v>2</v>
      </c>
      <c r="C832" s="43">
        <f t="shared" si="56"/>
        <v>865150.43908344791</v>
      </c>
      <c r="D832" s="43">
        <f t="shared" si="55"/>
        <v>103818.05269001375</v>
      </c>
      <c r="E832" s="44">
        <f t="shared" si="53"/>
        <v>8651.5043908344796</v>
      </c>
      <c r="F832" s="44">
        <f t="shared" si="54"/>
        <v>2162.8760977086199</v>
      </c>
    </row>
    <row r="833" spans="1:6" ht="13.8" thickBot="1" x14ac:dyDescent="0.3">
      <c r="A833" s="169"/>
      <c r="B833" s="45">
        <v>3</v>
      </c>
      <c r="C833" s="43">
        <f t="shared" si="56"/>
        <v>867313.3151811565</v>
      </c>
      <c r="D833" s="43">
        <f t="shared" si="55"/>
        <v>104077.59782173877</v>
      </c>
      <c r="E833" s="44">
        <f t="shared" si="53"/>
        <v>8673.1331518115639</v>
      </c>
      <c r="F833" s="44">
        <f t="shared" si="54"/>
        <v>2168.283287952891</v>
      </c>
    </row>
    <row r="834" spans="1:6" ht="13.8" thickBot="1" x14ac:dyDescent="0.3">
      <c r="A834" s="173"/>
      <c r="B834" s="45">
        <v>4</v>
      </c>
      <c r="C834" s="43">
        <f t="shared" si="56"/>
        <v>869481.59846910939</v>
      </c>
      <c r="D834" s="43">
        <f t="shared" si="55"/>
        <v>104337.79181629312</v>
      </c>
      <c r="E834" s="44">
        <f t="shared" si="53"/>
        <v>8694.815984691093</v>
      </c>
      <c r="F834" s="44">
        <f t="shared" si="54"/>
        <v>2173.7039961727733</v>
      </c>
    </row>
    <row r="835" spans="1:6" ht="13.8" thickBot="1" x14ac:dyDescent="0.3">
      <c r="A835" s="172" t="s">
        <v>127</v>
      </c>
      <c r="B835" s="45">
        <v>1</v>
      </c>
      <c r="C835" s="43">
        <f t="shared" si="56"/>
        <v>871655.30246528215</v>
      </c>
      <c r="D835" s="43">
        <f t="shared" si="55"/>
        <v>104598.63629583386</v>
      </c>
      <c r="E835" s="44">
        <f t="shared" si="53"/>
        <v>8716.5530246528215</v>
      </c>
      <c r="F835" s="44">
        <f t="shared" si="54"/>
        <v>2179.1382561632054</v>
      </c>
    </row>
    <row r="836" spans="1:6" ht="13.8" thickBot="1" x14ac:dyDescent="0.3">
      <c r="A836" s="169"/>
      <c r="B836" s="45">
        <v>2</v>
      </c>
      <c r="C836" s="43">
        <f t="shared" si="56"/>
        <v>873834.44072144537</v>
      </c>
      <c r="D836" s="43">
        <f t="shared" si="55"/>
        <v>104860.13288657344</v>
      </c>
      <c r="E836" s="44">
        <f t="shared" si="53"/>
        <v>8738.3444072144539</v>
      </c>
      <c r="F836" s="44">
        <f t="shared" si="54"/>
        <v>2184.5861018036135</v>
      </c>
    </row>
    <row r="837" spans="1:6" ht="13.8" thickBot="1" x14ac:dyDescent="0.3">
      <c r="A837" s="169"/>
      <c r="B837" s="45">
        <v>3</v>
      </c>
      <c r="C837" s="43">
        <f t="shared" si="56"/>
        <v>876019.02682324895</v>
      </c>
      <c r="D837" s="43">
        <f t="shared" si="55"/>
        <v>105122.28321878987</v>
      </c>
      <c r="E837" s="44">
        <f t="shared" si="53"/>
        <v>8760.190268232489</v>
      </c>
      <c r="F837" s="44">
        <f t="shared" si="54"/>
        <v>2190.0475670581222</v>
      </c>
    </row>
    <row r="838" spans="1:6" ht="13.8" thickBot="1" x14ac:dyDescent="0.3">
      <c r="A838" s="173"/>
      <c r="B838" s="45">
        <v>4</v>
      </c>
      <c r="C838" s="43">
        <f t="shared" si="56"/>
        <v>878209.07439030707</v>
      </c>
      <c r="D838" s="43">
        <f t="shared" si="55"/>
        <v>105385.08892683685</v>
      </c>
      <c r="E838" s="44">
        <f t="shared" ref="E838:E901" si="57">D838/12</f>
        <v>8782.0907439030707</v>
      </c>
      <c r="F838" s="44">
        <f t="shared" ref="F838:F901" si="58">E838/4</f>
        <v>2195.5226859757677</v>
      </c>
    </row>
    <row r="839" spans="1:6" ht="13.8" thickBot="1" x14ac:dyDescent="0.3">
      <c r="A839" s="172" t="s">
        <v>128</v>
      </c>
      <c r="B839" s="45">
        <v>1</v>
      </c>
      <c r="C839" s="43">
        <f t="shared" si="56"/>
        <v>880404.59707628284</v>
      </c>
      <c r="D839" s="43">
        <f t="shared" ref="D839:D902" si="59">C839*$F$2</f>
        <v>105648.55164915393</v>
      </c>
      <c r="E839" s="44">
        <f t="shared" si="57"/>
        <v>8804.045970762827</v>
      </c>
      <c r="F839" s="44">
        <f t="shared" si="58"/>
        <v>2201.0114926907067</v>
      </c>
    </row>
    <row r="840" spans="1:6" ht="13.8" thickBot="1" x14ac:dyDescent="0.3">
      <c r="A840" s="169"/>
      <c r="B840" s="45">
        <v>2</v>
      </c>
      <c r="C840" s="43">
        <f t="shared" si="56"/>
        <v>882605.60856897349</v>
      </c>
      <c r="D840" s="43">
        <f t="shared" si="59"/>
        <v>105912.67302827681</v>
      </c>
      <c r="E840" s="44">
        <f t="shared" si="57"/>
        <v>8826.0560856897337</v>
      </c>
      <c r="F840" s="44">
        <f t="shared" si="58"/>
        <v>2206.5140214224334</v>
      </c>
    </row>
    <row r="841" spans="1:6" ht="13.8" thickBot="1" x14ac:dyDescent="0.3">
      <c r="A841" s="169"/>
      <c r="B841" s="45">
        <v>3</v>
      </c>
      <c r="C841" s="43">
        <f t="shared" si="56"/>
        <v>884812.12259039597</v>
      </c>
      <c r="D841" s="43">
        <f t="shared" si="59"/>
        <v>106177.45471084751</v>
      </c>
      <c r="E841" s="44">
        <f t="shared" si="57"/>
        <v>8848.1212259039585</v>
      </c>
      <c r="F841" s="44">
        <f t="shared" si="58"/>
        <v>2212.0303064759896</v>
      </c>
    </row>
    <row r="842" spans="1:6" ht="13.8" thickBot="1" x14ac:dyDescent="0.3">
      <c r="A842" s="173"/>
      <c r="B842" s="45">
        <v>4</v>
      </c>
      <c r="C842" s="43">
        <f t="shared" si="56"/>
        <v>887024.15289687191</v>
      </c>
      <c r="D842" s="43">
        <f t="shared" si="59"/>
        <v>106442.89834762462</v>
      </c>
      <c r="E842" s="44">
        <f t="shared" si="57"/>
        <v>8870.2415289687178</v>
      </c>
      <c r="F842" s="44">
        <f t="shared" si="58"/>
        <v>2217.5603822421795</v>
      </c>
    </row>
    <row r="843" spans="1:6" ht="13.8" thickBot="1" x14ac:dyDescent="0.3">
      <c r="A843" s="172" t="s">
        <v>129</v>
      </c>
      <c r="B843" s="45">
        <v>1</v>
      </c>
      <c r="C843" s="43">
        <f t="shared" si="56"/>
        <v>889241.7132791141</v>
      </c>
      <c r="D843" s="43">
        <f t="shared" si="59"/>
        <v>106709.00559349368</v>
      </c>
      <c r="E843" s="44">
        <f t="shared" si="57"/>
        <v>8892.4171327911408</v>
      </c>
      <c r="F843" s="44">
        <f t="shared" si="58"/>
        <v>2223.1042831977852</v>
      </c>
    </row>
    <row r="844" spans="1:6" ht="13.8" thickBot="1" x14ac:dyDescent="0.3">
      <c r="A844" s="169"/>
      <c r="B844" s="45">
        <v>2</v>
      </c>
      <c r="C844" s="43">
        <f t="shared" si="56"/>
        <v>891464.81756231189</v>
      </c>
      <c r="D844" s="43">
        <f t="shared" si="59"/>
        <v>106975.77810747742</v>
      </c>
      <c r="E844" s="44">
        <f t="shared" si="57"/>
        <v>8914.6481756231187</v>
      </c>
      <c r="F844" s="44">
        <f t="shared" si="58"/>
        <v>2228.6620439057797</v>
      </c>
    </row>
    <row r="845" spans="1:6" ht="13.8" thickBot="1" x14ac:dyDescent="0.3">
      <c r="A845" s="169"/>
      <c r="B845" s="45">
        <v>3</v>
      </c>
      <c r="C845" s="43">
        <f t="shared" si="56"/>
        <v>893693.4796062177</v>
      </c>
      <c r="D845" s="43">
        <f t="shared" si="59"/>
        <v>107243.21755274612</v>
      </c>
      <c r="E845" s="44">
        <f t="shared" si="57"/>
        <v>8936.9347960621762</v>
      </c>
      <c r="F845" s="44">
        <f t="shared" si="58"/>
        <v>2234.2336990155441</v>
      </c>
    </row>
    <row r="846" spans="1:6" x14ac:dyDescent="0.25">
      <c r="A846" s="173"/>
      <c r="B846" s="45">
        <v>4</v>
      </c>
      <c r="C846" s="43">
        <f t="shared" si="56"/>
        <v>895927.71330523328</v>
      </c>
      <c r="D846" s="43">
        <f t="shared" si="59"/>
        <v>107511.32559662798</v>
      </c>
      <c r="E846" s="44">
        <f t="shared" si="57"/>
        <v>8959.2771330523319</v>
      </c>
      <c r="F846" s="44">
        <f t="shared" si="58"/>
        <v>2239.819283263083</v>
      </c>
    </row>
    <row r="847" spans="1:6" ht="13.8" thickBot="1" x14ac:dyDescent="0.3">
      <c r="A847" s="175" t="s">
        <v>130</v>
      </c>
      <c r="B847" s="47">
        <v>1</v>
      </c>
      <c r="C847" s="43">
        <f t="shared" si="56"/>
        <v>898167.53258849634</v>
      </c>
      <c r="D847" s="43">
        <f t="shared" si="59"/>
        <v>107780.10391061955</v>
      </c>
      <c r="E847" s="44">
        <f t="shared" si="57"/>
        <v>8981.6753258849621</v>
      </c>
      <c r="F847" s="44">
        <f t="shared" si="58"/>
        <v>2245.4188314712405</v>
      </c>
    </row>
    <row r="848" spans="1:6" ht="13.8" thickBot="1" x14ac:dyDescent="0.3">
      <c r="A848" s="169"/>
      <c r="B848" s="45">
        <v>2</v>
      </c>
      <c r="C848" s="43">
        <f t="shared" si="56"/>
        <v>900412.95141996758</v>
      </c>
      <c r="D848" s="43">
        <f t="shared" si="59"/>
        <v>108049.55417039611</v>
      </c>
      <c r="E848" s="44">
        <f t="shared" si="57"/>
        <v>9004.1295141996761</v>
      </c>
      <c r="F848" s="44">
        <f t="shared" si="58"/>
        <v>2251.032378549919</v>
      </c>
    </row>
    <row r="849" spans="1:6" ht="13.8" thickBot="1" x14ac:dyDescent="0.3">
      <c r="A849" s="169"/>
      <c r="B849" s="45">
        <v>3</v>
      </c>
      <c r="C849" s="43">
        <f t="shared" si="56"/>
        <v>902663.9837985175</v>
      </c>
      <c r="D849" s="43">
        <f t="shared" si="59"/>
        <v>108319.67805582209</v>
      </c>
      <c r="E849" s="44">
        <f t="shared" si="57"/>
        <v>9026.6398379851744</v>
      </c>
      <c r="F849" s="44">
        <f t="shared" si="58"/>
        <v>2256.6599594962936</v>
      </c>
    </row>
    <row r="850" spans="1:6" ht="13.8" thickBot="1" x14ac:dyDescent="0.3">
      <c r="A850" s="173"/>
      <c r="B850" s="45">
        <v>4</v>
      </c>
      <c r="C850" s="43">
        <f t="shared" si="56"/>
        <v>904920.64375801384</v>
      </c>
      <c r="D850" s="43">
        <f t="shared" si="59"/>
        <v>108590.47725096166</v>
      </c>
      <c r="E850" s="44">
        <f t="shared" si="57"/>
        <v>9049.2064375801383</v>
      </c>
      <c r="F850" s="44">
        <f t="shared" si="58"/>
        <v>2262.3016093950346</v>
      </c>
    </row>
    <row r="851" spans="1:6" ht="13.8" thickBot="1" x14ac:dyDescent="0.3">
      <c r="A851" s="172" t="s">
        <v>131</v>
      </c>
      <c r="B851" s="45">
        <v>1</v>
      </c>
      <c r="C851" s="43">
        <f t="shared" si="56"/>
        <v>907182.94536740892</v>
      </c>
      <c r="D851" s="43">
        <f t="shared" si="59"/>
        <v>108861.95344408907</v>
      </c>
      <c r="E851" s="44">
        <f t="shared" si="57"/>
        <v>9071.8294536740887</v>
      </c>
      <c r="F851" s="44">
        <f t="shared" si="58"/>
        <v>2267.9573634185222</v>
      </c>
    </row>
    <row r="852" spans="1:6" ht="13.8" thickBot="1" x14ac:dyDescent="0.3">
      <c r="A852" s="169"/>
      <c r="B852" s="45">
        <v>2</v>
      </c>
      <c r="C852" s="43">
        <f t="shared" si="56"/>
        <v>909450.90273082745</v>
      </c>
      <c r="D852" s="43">
        <f t="shared" si="59"/>
        <v>109134.10832769929</v>
      </c>
      <c r="E852" s="44">
        <f t="shared" si="57"/>
        <v>9094.5090273082733</v>
      </c>
      <c r="F852" s="44">
        <f t="shared" si="58"/>
        <v>2273.6272568270683</v>
      </c>
    </row>
    <row r="853" spans="1:6" ht="13.8" thickBot="1" x14ac:dyDescent="0.3">
      <c r="A853" s="169"/>
      <c r="B853" s="45">
        <v>3</v>
      </c>
      <c r="C853" s="43">
        <f t="shared" si="56"/>
        <v>911724.52998765453</v>
      </c>
      <c r="D853" s="43">
        <f t="shared" si="59"/>
        <v>109406.94359851854</v>
      </c>
      <c r="E853" s="44">
        <f t="shared" si="57"/>
        <v>9117.2452998765457</v>
      </c>
      <c r="F853" s="44">
        <f t="shared" si="58"/>
        <v>2279.3113249691364</v>
      </c>
    </row>
    <row r="854" spans="1:6" ht="13.8" thickBot="1" x14ac:dyDescent="0.3">
      <c r="A854" s="173"/>
      <c r="B854" s="45">
        <v>4</v>
      </c>
      <c r="C854" s="43">
        <f t="shared" si="56"/>
        <v>914003.8413126237</v>
      </c>
      <c r="D854" s="43">
        <f t="shared" si="59"/>
        <v>109680.46095751484</v>
      </c>
      <c r="E854" s="44">
        <f t="shared" si="57"/>
        <v>9140.0384131262363</v>
      </c>
      <c r="F854" s="44">
        <f t="shared" si="58"/>
        <v>2285.0096032815591</v>
      </c>
    </row>
    <row r="855" spans="1:6" ht="13.8" thickBot="1" x14ac:dyDescent="0.3">
      <c r="A855" s="172" t="s">
        <v>132</v>
      </c>
      <c r="B855" s="45">
        <v>1</v>
      </c>
      <c r="C855" s="43">
        <f t="shared" si="56"/>
        <v>916288.8509159052</v>
      </c>
      <c r="D855" s="43">
        <f t="shared" si="59"/>
        <v>109954.66210990862</v>
      </c>
      <c r="E855" s="44">
        <f t="shared" si="57"/>
        <v>9162.888509159051</v>
      </c>
      <c r="F855" s="44">
        <f t="shared" si="58"/>
        <v>2290.7221272897627</v>
      </c>
    </row>
    <row r="856" spans="1:6" ht="13.8" thickBot="1" x14ac:dyDescent="0.3">
      <c r="A856" s="169"/>
      <c r="B856" s="45">
        <v>2</v>
      </c>
      <c r="C856" s="43">
        <f t="shared" si="56"/>
        <v>918579.57304319495</v>
      </c>
      <c r="D856" s="43">
        <f t="shared" si="59"/>
        <v>110229.54876518338</v>
      </c>
      <c r="E856" s="44">
        <f t="shared" si="57"/>
        <v>9185.795730431948</v>
      </c>
      <c r="F856" s="44">
        <f t="shared" si="58"/>
        <v>2296.448932607987</v>
      </c>
    </row>
    <row r="857" spans="1:6" ht="13.8" thickBot="1" x14ac:dyDescent="0.3">
      <c r="A857" s="169"/>
      <c r="B857" s="45">
        <v>3</v>
      </c>
      <c r="C857" s="43">
        <f t="shared" si="56"/>
        <v>920876.02197580296</v>
      </c>
      <c r="D857" s="43">
        <f t="shared" si="59"/>
        <v>110505.12263709636</v>
      </c>
      <c r="E857" s="44">
        <f t="shared" si="57"/>
        <v>9208.7602197580291</v>
      </c>
      <c r="F857" s="44">
        <f t="shared" si="58"/>
        <v>2302.1900549395073</v>
      </c>
    </row>
    <row r="858" spans="1:6" ht="13.8" thickBot="1" x14ac:dyDescent="0.3">
      <c r="A858" s="173"/>
      <c r="B858" s="45">
        <v>4</v>
      </c>
      <c r="C858" s="43">
        <f t="shared" si="56"/>
        <v>923178.21203074243</v>
      </c>
      <c r="D858" s="43">
        <f t="shared" si="59"/>
        <v>110781.38544368908</v>
      </c>
      <c r="E858" s="44">
        <f t="shared" si="57"/>
        <v>9231.7821203074236</v>
      </c>
      <c r="F858" s="44">
        <f t="shared" si="58"/>
        <v>2307.9455300768559</v>
      </c>
    </row>
    <row r="859" spans="1:6" ht="13.8" thickBot="1" x14ac:dyDescent="0.3">
      <c r="A859" s="172" t="s">
        <v>133</v>
      </c>
      <c r="B859" s="45">
        <v>1</v>
      </c>
      <c r="C859" s="43">
        <f t="shared" si="56"/>
        <v>925486.15756081929</v>
      </c>
      <c r="D859" s="43">
        <f t="shared" si="59"/>
        <v>111058.33890729831</v>
      </c>
      <c r="E859" s="44">
        <f t="shared" si="57"/>
        <v>9254.8615756081927</v>
      </c>
      <c r="F859" s="44">
        <f t="shared" si="58"/>
        <v>2313.7153939020482</v>
      </c>
    </row>
    <row r="860" spans="1:6" ht="13.8" thickBot="1" x14ac:dyDescent="0.3">
      <c r="A860" s="169"/>
      <c r="B860" s="45">
        <v>2</v>
      </c>
      <c r="C860" s="43">
        <f t="shared" si="56"/>
        <v>927799.87295472133</v>
      </c>
      <c r="D860" s="43">
        <f t="shared" si="59"/>
        <v>111335.98475456655</v>
      </c>
      <c r="E860" s="44">
        <f t="shared" si="57"/>
        <v>9277.9987295472129</v>
      </c>
      <c r="F860" s="44">
        <f t="shared" si="58"/>
        <v>2319.4996823868032</v>
      </c>
    </row>
    <row r="861" spans="1:6" ht="13.8" thickBot="1" x14ac:dyDescent="0.3">
      <c r="A861" s="169"/>
      <c r="B861" s="45">
        <v>3</v>
      </c>
      <c r="C861" s="43">
        <f t="shared" si="56"/>
        <v>930119.37263710808</v>
      </c>
      <c r="D861" s="43">
        <f t="shared" si="59"/>
        <v>111614.32471645296</v>
      </c>
      <c r="E861" s="44">
        <f t="shared" si="57"/>
        <v>9301.1937263710806</v>
      </c>
      <c r="F861" s="44">
        <f t="shared" si="58"/>
        <v>2325.2984315927702</v>
      </c>
    </row>
    <row r="862" spans="1:6" ht="13.8" thickBot="1" x14ac:dyDescent="0.3">
      <c r="A862" s="173"/>
      <c r="B862" s="45">
        <v>4</v>
      </c>
      <c r="C862" s="43">
        <f t="shared" si="56"/>
        <v>932444.67106870085</v>
      </c>
      <c r="D862" s="43">
        <f t="shared" si="59"/>
        <v>111893.3605282441</v>
      </c>
      <c r="E862" s="44">
        <f t="shared" si="57"/>
        <v>9324.4467106870088</v>
      </c>
      <c r="F862" s="44">
        <f t="shared" si="58"/>
        <v>2331.1116776717522</v>
      </c>
    </row>
    <row r="863" spans="1:6" ht="13.8" thickBot="1" x14ac:dyDescent="0.3">
      <c r="A863" s="172" t="s">
        <v>134</v>
      </c>
      <c r="B863" s="45">
        <v>1</v>
      </c>
      <c r="C863" s="43">
        <f t="shared" si="56"/>
        <v>934775.78274637263</v>
      </c>
      <c r="D863" s="43">
        <f t="shared" si="59"/>
        <v>112173.09392956471</v>
      </c>
      <c r="E863" s="44">
        <f t="shared" si="57"/>
        <v>9347.7578274637253</v>
      </c>
      <c r="F863" s="44">
        <f t="shared" si="58"/>
        <v>2336.9394568659313</v>
      </c>
    </row>
    <row r="864" spans="1:6" ht="13.8" thickBot="1" x14ac:dyDescent="0.3">
      <c r="A864" s="169"/>
      <c r="B864" s="45">
        <v>2</v>
      </c>
      <c r="C864" s="43">
        <f t="shared" si="56"/>
        <v>937112.72220323852</v>
      </c>
      <c r="D864" s="43">
        <f t="shared" si="59"/>
        <v>112453.52666438861</v>
      </c>
      <c r="E864" s="44">
        <f t="shared" si="57"/>
        <v>9371.1272220323845</v>
      </c>
      <c r="F864" s="44">
        <f t="shared" si="58"/>
        <v>2342.7818055080961</v>
      </c>
    </row>
    <row r="865" spans="1:6" ht="13.8" thickBot="1" x14ac:dyDescent="0.3">
      <c r="A865" s="169"/>
      <c r="B865" s="45">
        <v>3</v>
      </c>
      <c r="C865" s="43">
        <f t="shared" si="56"/>
        <v>939455.50400874659</v>
      </c>
      <c r="D865" s="43">
        <f t="shared" si="59"/>
        <v>112734.66048104959</v>
      </c>
      <c r="E865" s="44">
        <f t="shared" si="57"/>
        <v>9394.5550400874654</v>
      </c>
      <c r="F865" s="44">
        <f t="shared" si="58"/>
        <v>2348.6387600218663</v>
      </c>
    </row>
    <row r="866" spans="1:6" ht="13.8" thickBot="1" x14ac:dyDescent="0.3">
      <c r="A866" s="173"/>
      <c r="B866" s="45">
        <v>4</v>
      </c>
      <c r="C866" s="43">
        <f t="shared" si="56"/>
        <v>941804.14276876848</v>
      </c>
      <c r="D866" s="43">
        <f t="shared" si="59"/>
        <v>113016.49713225222</v>
      </c>
      <c r="E866" s="44">
        <f t="shared" si="57"/>
        <v>9418.0414276876854</v>
      </c>
      <c r="F866" s="44">
        <f t="shared" si="58"/>
        <v>2354.5103569219214</v>
      </c>
    </row>
    <row r="867" spans="1:6" ht="13.8" thickBot="1" x14ac:dyDescent="0.3">
      <c r="A867" s="172" t="s">
        <v>135</v>
      </c>
      <c r="B867" s="45">
        <v>1</v>
      </c>
      <c r="C867" s="43">
        <f t="shared" si="56"/>
        <v>944158.65312569041</v>
      </c>
      <c r="D867" s="43">
        <f t="shared" si="59"/>
        <v>113299.03837508285</v>
      </c>
      <c r="E867" s="44">
        <f t="shared" si="57"/>
        <v>9441.586531256904</v>
      </c>
      <c r="F867" s="44">
        <f t="shared" si="58"/>
        <v>2360.396632814226</v>
      </c>
    </row>
    <row r="868" spans="1:6" ht="13.8" thickBot="1" x14ac:dyDescent="0.3">
      <c r="A868" s="169"/>
      <c r="B868" s="45">
        <v>2</v>
      </c>
      <c r="C868" s="43">
        <f t="shared" si="56"/>
        <v>946519.04975850461</v>
      </c>
      <c r="D868" s="43">
        <f t="shared" si="59"/>
        <v>113582.28597102055</v>
      </c>
      <c r="E868" s="44">
        <f t="shared" si="57"/>
        <v>9465.1904975850466</v>
      </c>
      <c r="F868" s="44">
        <f t="shared" si="58"/>
        <v>2366.2976243962617</v>
      </c>
    </row>
    <row r="869" spans="1:6" ht="13.8" thickBot="1" x14ac:dyDescent="0.3">
      <c r="A869" s="169"/>
      <c r="B869" s="45">
        <v>3</v>
      </c>
      <c r="C869" s="43">
        <f t="shared" si="56"/>
        <v>948885.34738290089</v>
      </c>
      <c r="D869" s="43">
        <f t="shared" si="59"/>
        <v>113866.2416859481</v>
      </c>
      <c r="E869" s="44">
        <f t="shared" si="57"/>
        <v>9488.8534738290091</v>
      </c>
      <c r="F869" s="44">
        <f t="shared" si="58"/>
        <v>2372.2133684572523</v>
      </c>
    </row>
    <row r="870" spans="1:6" ht="13.8" thickBot="1" x14ac:dyDescent="0.3">
      <c r="A870" s="173"/>
      <c r="B870" s="45">
        <v>4</v>
      </c>
      <c r="C870" s="43">
        <f t="shared" si="56"/>
        <v>951257.56075135816</v>
      </c>
      <c r="D870" s="43">
        <f t="shared" si="59"/>
        <v>114150.90729016297</v>
      </c>
      <c r="E870" s="44">
        <f t="shared" si="57"/>
        <v>9512.5756075135814</v>
      </c>
      <c r="F870" s="44">
        <f t="shared" si="58"/>
        <v>2378.1439018783954</v>
      </c>
    </row>
    <row r="871" spans="1:6" ht="13.8" thickBot="1" x14ac:dyDescent="0.3">
      <c r="A871" s="172" t="s">
        <v>136</v>
      </c>
      <c r="B871" s="45">
        <v>1</v>
      </c>
      <c r="C871" s="43">
        <f t="shared" si="56"/>
        <v>953635.70465323655</v>
      </c>
      <c r="D871" s="43">
        <f t="shared" si="59"/>
        <v>114436.28455838838</v>
      </c>
      <c r="E871" s="44">
        <f t="shared" si="57"/>
        <v>9536.3570465323646</v>
      </c>
      <c r="F871" s="44">
        <f t="shared" si="58"/>
        <v>2384.0892616330912</v>
      </c>
    </row>
    <row r="872" spans="1:6" ht="13.8" thickBot="1" x14ac:dyDescent="0.3">
      <c r="A872" s="169"/>
      <c r="B872" s="45">
        <v>2</v>
      </c>
      <c r="C872" s="43">
        <f t="shared" si="56"/>
        <v>956019.79391486966</v>
      </c>
      <c r="D872" s="43">
        <f t="shared" si="59"/>
        <v>114722.37526978436</v>
      </c>
      <c r="E872" s="44">
        <f t="shared" si="57"/>
        <v>9560.1979391486966</v>
      </c>
      <c r="F872" s="44">
        <f t="shared" si="58"/>
        <v>2390.0494847871742</v>
      </c>
    </row>
    <row r="873" spans="1:6" ht="13.8" thickBot="1" x14ac:dyDescent="0.3">
      <c r="A873" s="169"/>
      <c r="B873" s="45">
        <v>3</v>
      </c>
      <c r="C873" s="43">
        <f t="shared" si="56"/>
        <v>958409.84339965682</v>
      </c>
      <c r="D873" s="43">
        <f t="shared" si="59"/>
        <v>115009.18120795881</v>
      </c>
      <c r="E873" s="44">
        <f t="shared" si="57"/>
        <v>9584.0984339965671</v>
      </c>
      <c r="F873" s="44">
        <f t="shared" si="58"/>
        <v>2396.0246084991418</v>
      </c>
    </row>
    <row r="874" spans="1:6" ht="13.8" thickBot="1" x14ac:dyDescent="0.3">
      <c r="A874" s="173"/>
      <c r="B874" s="45">
        <v>4</v>
      </c>
      <c r="C874" s="43">
        <f t="shared" si="56"/>
        <v>960805.86800815596</v>
      </c>
      <c r="D874" s="43">
        <f t="shared" si="59"/>
        <v>115296.70416097871</v>
      </c>
      <c r="E874" s="44">
        <f t="shared" si="57"/>
        <v>9608.0586800815599</v>
      </c>
      <c r="F874" s="44">
        <f t="shared" si="58"/>
        <v>2402.01467002039</v>
      </c>
    </row>
    <row r="875" spans="1:6" ht="13.8" thickBot="1" x14ac:dyDescent="0.3">
      <c r="A875" s="172" t="s">
        <v>137</v>
      </c>
      <c r="B875" s="45">
        <v>1</v>
      </c>
      <c r="C875" s="43">
        <f t="shared" si="56"/>
        <v>963207.88267817639</v>
      </c>
      <c r="D875" s="43">
        <f t="shared" si="59"/>
        <v>115584.94592138116</v>
      </c>
      <c r="E875" s="44">
        <f t="shared" si="57"/>
        <v>9632.0788267817643</v>
      </c>
      <c r="F875" s="44">
        <f t="shared" si="58"/>
        <v>2408.0197066954411</v>
      </c>
    </row>
    <row r="876" spans="1:6" ht="13.8" thickBot="1" x14ac:dyDescent="0.3">
      <c r="A876" s="169"/>
      <c r="B876" s="45">
        <v>2</v>
      </c>
      <c r="C876" s="43">
        <f t="shared" si="56"/>
        <v>965615.90238487185</v>
      </c>
      <c r="D876" s="43">
        <f t="shared" si="59"/>
        <v>115873.90828618461</v>
      </c>
      <c r="E876" s="44">
        <f t="shared" si="57"/>
        <v>9656.159023848717</v>
      </c>
      <c r="F876" s="44">
        <f t="shared" si="58"/>
        <v>2414.0397559621792</v>
      </c>
    </row>
    <row r="877" spans="1:6" ht="13.8" thickBot="1" x14ac:dyDescent="0.3">
      <c r="A877" s="169"/>
      <c r="B877" s="45">
        <v>3</v>
      </c>
      <c r="C877" s="43">
        <f t="shared" si="56"/>
        <v>968029.94214083406</v>
      </c>
      <c r="D877" s="43">
        <f t="shared" si="59"/>
        <v>116163.59305690008</v>
      </c>
      <c r="E877" s="44">
        <f t="shared" si="57"/>
        <v>9680.2994214083392</v>
      </c>
      <c r="F877" s="44">
        <f t="shared" si="58"/>
        <v>2420.0748553520848</v>
      </c>
    </row>
    <row r="878" spans="1:6" ht="13.8" thickBot="1" x14ac:dyDescent="0.3">
      <c r="A878" s="173"/>
      <c r="B878" s="45">
        <v>4</v>
      </c>
      <c r="C878" s="43">
        <f t="shared" si="56"/>
        <v>970450.01699618611</v>
      </c>
      <c r="D878" s="43">
        <f t="shared" si="59"/>
        <v>116454.00203954233</v>
      </c>
      <c r="E878" s="44">
        <f t="shared" si="57"/>
        <v>9704.5001699618606</v>
      </c>
      <c r="F878" s="44">
        <f t="shared" si="58"/>
        <v>2426.1250424904651</v>
      </c>
    </row>
    <row r="879" spans="1:6" ht="13.8" thickBot="1" x14ac:dyDescent="0.3">
      <c r="A879" s="172" t="s">
        <v>138</v>
      </c>
      <c r="B879" s="45">
        <v>1</v>
      </c>
      <c r="C879" s="43">
        <f t="shared" si="56"/>
        <v>972876.14203867654</v>
      </c>
      <c r="D879" s="43">
        <f t="shared" si="59"/>
        <v>116745.13704464117</v>
      </c>
      <c r="E879" s="44">
        <f t="shared" si="57"/>
        <v>9728.7614203867652</v>
      </c>
      <c r="F879" s="44">
        <f t="shared" si="58"/>
        <v>2432.1903550966913</v>
      </c>
    </row>
    <row r="880" spans="1:6" ht="13.8" thickBot="1" x14ac:dyDescent="0.3">
      <c r="A880" s="169"/>
      <c r="B880" s="45">
        <v>2</v>
      </c>
      <c r="C880" s="43">
        <f t="shared" si="56"/>
        <v>975308.33239377325</v>
      </c>
      <c r="D880" s="43">
        <f t="shared" si="59"/>
        <v>117036.99988725278</v>
      </c>
      <c r="E880" s="44">
        <f t="shared" si="57"/>
        <v>9753.0833239377316</v>
      </c>
      <c r="F880" s="44">
        <f t="shared" si="58"/>
        <v>2438.2708309844329</v>
      </c>
    </row>
    <row r="881" spans="1:6" ht="13.8" thickBot="1" x14ac:dyDescent="0.3">
      <c r="A881" s="169"/>
      <c r="B881" s="45">
        <v>3</v>
      </c>
      <c r="C881" s="43">
        <f t="shared" si="56"/>
        <v>977746.60322475771</v>
      </c>
      <c r="D881" s="43">
        <f t="shared" si="59"/>
        <v>117329.59238697092</v>
      </c>
      <c r="E881" s="44">
        <f t="shared" si="57"/>
        <v>9777.4660322475775</v>
      </c>
      <c r="F881" s="44">
        <f t="shared" si="58"/>
        <v>2444.3665080618944</v>
      </c>
    </row>
    <row r="882" spans="1:6" ht="13.8" thickBot="1" x14ac:dyDescent="0.3">
      <c r="A882" s="173"/>
      <c r="B882" s="45">
        <v>4</v>
      </c>
      <c r="C882" s="43">
        <f t="shared" si="56"/>
        <v>980190.96973281959</v>
      </c>
      <c r="D882" s="43">
        <f t="shared" si="59"/>
        <v>117622.91636793835</v>
      </c>
      <c r="E882" s="44">
        <f t="shared" si="57"/>
        <v>9801.9096973281958</v>
      </c>
      <c r="F882" s="44">
        <f t="shared" si="58"/>
        <v>2450.4774243320489</v>
      </c>
    </row>
    <row r="883" spans="1:6" ht="13.8" thickBot="1" x14ac:dyDescent="0.3">
      <c r="A883" s="172" t="s">
        <v>139</v>
      </c>
      <c r="B883" s="45">
        <v>1</v>
      </c>
      <c r="C883" s="43">
        <f t="shared" si="56"/>
        <v>982641.44715715165</v>
      </c>
      <c r="D883" s="43">
        <f t="shared" si="59"/>
        <v>117916.97365885819</v>
      </c>
      <c r="E883" s="44">
        <f t="shared" si="57"/>
        <v>9826.4144715715156</v>
      </c>
      <c r="F883" s="44">
        <f t="shared" si="58"/>
        <v>2456.6036178928789</v>
      </c>
    </row>
    <row r="884" spans="1:6" ht="13.8" thickBot="1" x14ac:dyDescent="0.3">
      <c r="A884" s="169"/>
      <c r="B884" s="45">
        <v>2</v>
      </c>
      <c r="C884" s="43">
        <f t="shared" si="56"/>
        <v>985098.05077504448</v>
      </c>
      <c r="D884" s="43">
        <f t="shared" si="59"/>
        <v>118211.76609300534</v>
      </c>
      <c r="E884" s="44">
        <f t="shared" si="57"/>
        <v>9850.9805077504443</v>
      </c>
      <c r="F884" s="44">
        <f t="shared" si="58"/>
        <v>2462.7451269376111</v>
      </c>
    </row>
    <row r="885" spans="1:6" ht="13.8" thickBot="1" x14ac:dyDescent="0.3">
      <c r="A885" s="169"/>
      <c r="B885" s="45">
        <v>3</v>
      </c>
      <c r="C885" s="43">
        <f t="shared" si="56"/>
        <v>987560.79590198211</v>
      </c>
      <c r="D885" s="43">
        <f t="shared" si="59"/>
        <v>118507.29550823785</v>
      </c>
      <c r="E885" s="44">
        <f t="shared" si="57"/>
        <v>9875.6079590198206</v>
      </c>
      <c r="F885" s="44">
        <f t="shared" si="58"/>
        <v>2468.9019897549551</v>
      </c>
    </row>
    <row r="886" spans="1:6" ht="13.8" thickBot="1" x14ac:dyDescent="0.3">
      <c r="A886" s="173"/>
      <c r="B886" s="45">
        <v>4</v>
      </c>
      <c r="C886" s="43">
        <f t="shared" si="56"/>
        <v>990029.6978917371</v>
      </c>
      <c r="D886" s="43">
        <f t="shared" si="59"/>
        <v>118803.56374700845</v>
      </c>
      <c r="E886" s="44">
        <f t="shared" si="57"/>
        <v>9900.2969789173712</v>
      </c>
      <c r="F886" s="44">
        <f t="shared" si="58"/>
        <v>2475.0742447293428</v>
      </c>
    </row>
    <row r="887" spans="1:6" ht="13.8" thickBot="1" x14ac:dyDescent="0.3">
      <c r="A887" s="172" t="s">
        <v>140</v>
      </c>
      <c r="B887" s="45">
        <v>1</v>
      </c>
      <c r="C887" s="43">
        <f t="shared" ref="C887:C950" si="60">IF(B887=1,C886+F886+$B$3,C886+F886)</f>
        <v>992504.77213646646</v>
      </c>
      <c r="D887" s="43">
        <f t="shared" si="59"/>
        <v>119100.57265637597</v>
      </c>
      <c r="E887" s="44">
        <f t="shared" si="57"/>
        <v>9925.0477213646645</v>
      </c>
      <c r="F887" s="44">
        <f t="shared" si="58"/>
        <v>2481.2619303411661</v>
      </c>
    </row>
    <row r="888" spans="1:6" ht="13.8" thickBot="1" x14ac:dyDescent="0.3">
      <c r="A888" s="169"/>
      <c r="B888" s="45">
        <v>2</v>
      </c>
      <c r="C888" s="43">
        <f t="shared" si="60"/>
        <v>994986.0340668076</v>
      </c>
      <c r="D888" s="43">
        <f t="shared" si="59"/>
        <v>119398.3240880169</v>
      </c>
      <c r="E888" s="44">
        <f t="shared" si="57"/>
        <v>9949.8603406680759</v>
      </c>
      <c r="F888" s="44">
        <f t="shared" si="58"/>
        <v>2487.465085167019</v>
      </c>
    </row>
    <row r="889" spans="1:6" ht="13.8" thickBot="1" x14ac:dyDescent="0.3">
      <c r="A889" s="169"/>
      <c r="B889" s="45">
        <v>3</v>
      </c>
      <c r="C889" s="43">
        <f t="shared" si="60"/>
        <v>997473.49915197457</v>
      </c>
      <c r="D889" s="43">
        <f t="shared" si="59"/>
        <v>119696.81989823695</v>
      </c>
      <c r="E889" s="44">
        <f t="shared" si="57"/>
        <v>9974.7349915197465</v>
      </c>
      <c r="F889" s="44">
        <f t="shared" si="58"/>
        <v>2493.6837478799366</v>
      </c>
    </row>
    <row r="890" spans="1:6" ht="13.8" thickBot="1" x14ac:dyDescent="0.3">
      <c r="A890" s="173"/>
      <c r="B890" s="45">
        <v>4</v>
      </c>
      <c r="C890" s="43">
        <f t="shared" si="60"/>
        <v>999967.1828998545</v>
      </c>
      <c r="D890" s="43">
        <f t="shared" si="59"/>
        <v>119996.06194798254</v>
      </c>
      <c r="E890" s="44">
        <f t="shared" si="57"/>
        <v>9999.6718289985456</v>
      </c>
      <c r="F890" s="44">
        <f t="shared" si="58"/>
        <v>2499.9179572496364</v>
      </c>
    </row>
    <row r="891" spans="1:6" ht="13.8" thickBot="1" x14ac:dyDescent="0.3">
      <c r="A891" s="172" t="s">
        <v>141</v>
      </c>
      <c r="B891" s="45">
        <v>1</v>
      </c>
      <c r="C891" s="43">
        <f t="shared" si="60"/>
        <v>1002467.1008571042</v>
      </c>
      <c r="D891" s="43">
        <f t="shared" si="59"/>
        <v>120296.0521028525</v>
      </c>
      <c r="E891" s="44">
        <f t="shared" si="57"/>
        <v>10024.671008571042</v>
      </c>
      <c r="F891" s="44">
        <f t="shared" si="58"/>
        <v>2506.1677521427605</v>
      </c>
    </row>
    <row r="892" spans="1:6" ht="13.8" thickBot="1" x14ac:dyDescent="0.3">
      <c r="A892" s="169"/>
      <c r="B892" s="45">
        <v>2</v>
      </c>
      <c r="C892" s="43">
        <f t="shared" si="60"/>
        <v>1004973.2686092469</v>
      </c>
      <c r="D892" s="43">
        <f t="shared" si="59"/>
        <v>120596.79223310963</v>
      </c>
      <c r="E892" s="44">
        <f t="shared" si="57"/>
        <v>10049.73268609247</v>
      </c>
      <c r="F892" s="44">
        <f t="shared" si="58"/>
        <v>2512.4331715231174</v>
      </c>
    </row>
    <row r="893" spans="1:6" ht="13.8" thickBot="1" x14ac:dyDescent="0.3">
      <c r="A893" s="169"/>
      <c r="B893" s="45">
        <v>3</v>
      </c>
      <c r="C893" s="43">
        <f t="shared" si="60"/>
        <v>1007485.7017807701</v>
      </c>
      <c r="D893" s="43">
        <f t="shared" si="59"/>
        <v>120898.2842136924</v>
      </c>
      <c r="E893" s="44">
        <f t="shared" si="57"/>
        <v>10074.857017807701</v>
      </c>
      <c r="F893" s="44">
        <f t="shared" si="58"/>
        <v>2518.7142544519252</v>
      </c>
    </row>
    <row r="894" spans="1:6" x14ac:dyDescent="0.25">
      <c r="A894" s="173"/>
      <c r="B894" s="45">
        <v>4</v>
      </c>
      <c r="C894" s="43">
        <f t="shared" si="60"/>
        <v>1010004.416035222</v>
      </c>
      <c r="D894" s="43">
        <f t="shared" si="59"/>
        <v>121200.52992422663</v>
      </c>
      <c r="E894" s="44">
        <f t="shared" si="57"/>
        <v>10100.044160352219</v>
      </c>
      <c r="F894" s="44">
        <f t="shared" si="58"/>
        <v>2525.0110400880549</v>
      </c>
    </row>
    <row r="895" spans="1:6" ht="13.8" thickBot="1" x14ac:dyDescent="0.3">
      <c r="A895" s="175" t="s">
        <v>142</v>
      </c>
      <c r="B895" s="47">
        <v>1</v>
      </c>
      <c r="C895" s="43">
        <f t="shared" si="60"/>
        <v>1012529.42707531</v>
      </c>
      <c r="D895" s="43">
        <f t="shared" si="59"/>
        <v>121503.5312490372</v>
      </c>
      <c r="E895" s="44">
        <f t="shared" si="57"/>
        <v>10125.2942707531</v>
      </c>
      <c r="F895" s="44">
        <f t="shared" si="58"/>
        <v>2531.323567688275</v>
      </c>
    </row>
    <row r="896" spans="1:6" ht="13.8" thickBot="1" x14ac:dyDescent="0.3">
      <c r="A896" s="169"/>
      <c r="B896" s="45">
        <v>2</v>
      </c>
      <c r="C896" s="43">
        <f t="shared" si="60"/>
        <v>1015060.7506429983</v>
      </c>
      <c r="D896" s="43">
        <f t="shared" si="59"/>
        <v>121807.29007715979</v>
      </c>
      <c r="E896" s="44">
        <f t="shared" si="57"/>
        <v>10150.607506429982</v>
      </c>
      <c r="F896" s="44">
        <f t="shared" si="58"/>
        <v>2537.6518766074955</v>
      </c>
    </row>
    <row r="897" spans="1:6" ht="13.8" thickBot="1" x14ac:dyDescent="0.3">
      <c r="A897" s="169"/>
      <c r="B897" s="45">
        <v>3</v>
      </c>
      <c r="C897" s="43">
        <f t="shared" si="60"/>
        <v>1017598.4025196057</v>
      </c>
      <c r="D897" s="43">
        <f t="shared" si="59"/>
        <v>122111.80830235269</v>
      </c>
      <c r="E897" s="44">
        <f t="shared" si="57"/>
        <v>10175.984025196058</v>
      </c>
      <c r="F897" s="44">
        <f t="shared" si="58"/>
        <v>2543.9960062990144</v>
      </c>
    </row>
    <row r="898" spans="1:6" ht="13.8" thickBot="1" x14ac:dyDescent="0.3">
      <c r="A898" s="173"/>
      <c r="B898" s="45">
        <v>4</v>
      </c>
      <c r="C898" s="43">
        <f t="shared" si="60"/>
        <v>1020142.3985259047</v>
      </c>
      <c r="D898" s="43">
        <f t="shared" si="59"/>
        <v>122417.08782310857</v>
      </c>
      <c r="E898" s="44">
        <f t="shared" si="57"/>
        <v>10201.423985259047</v>
      </c>
      <c r="F898" s="44">
        <f t="shared" si="58"/>
        <v>2550.3559963147618</v>
      </c>
    </row>
    <row r="899" spans="1:6" ht="13.8" thickBot="1" x14ac:dyDescent="0.3">
      <c r="A899" s="172" t="s">
        <v>143</v>
      </c>
      <c r="B899" s="45">
        <v>1</v>
      </c>
      <c r="C899" s="43">
        <f t="shared" si="60"/>
        <v>1022692.7545222195</v>
      </c>
      <c r="D899" s="43">
        <f t="shared" si="59"/>
        <v>122723.13054266635</v>
      </c>
      <c r="E899" s="44">
        <f t="shared" si="57"/>
        <v>10226.927545222195</v>
      </c>
      <c r="F899" s="44">
        <f t="shared" si="58"/>
        <v>2556.7318863055489</v>
      </c>
    </row>
    <row r="900" spans="1:6" ht="13.8" thickBot="1" x14ac:dyDescent="0.3">
      <c r="A900" s="169"/>
      <c r="B900" s="45">
        <v>2</v>
      </c>
      <c r="C900" s="43">
        <f t="shared" si="60"/>
        <v>1025249.486408525</v>
      </c>
      <c r="D900" s="43">
        <f t="shared" si="59"/>
        <v>123029.938369023</v>
      </c>
      <c r="E900" s="44">
        <f t="shared" si="57"/>
        <v>10252.494864085251</v>
      </c>
      <c r="F900" s="44">
        <f t="shared" si="58"/>
        <v>2563.1237160213127</v>
      </c>
    </row>
    <row r="901" spans="1:6" ht="13.8" thickBot="1" x14ac:dyDescent="0.3">
      <c r="A901" s="169"/>
      <c r="B901" s="45">
        <v>3</v>
      </c>
      <c r="C901" s="43">
        <f t="shared" si="60"/>
        <v>1027812.6101245463</v>
      </c>
      <c r="D901" s="43">
        <f t="shared" si="59"/>
        <v>123337.51321494556</v>
      </c>
      <c r="E901" s="44">
        <f t="shared" si="57"/>
        <v>10278.126101245463</v>
      </c>
      <c r="F901" s="44">
        <f t="shared" si="58"/>
        <v>2569.5315253113658</v>
      </c>
    </row>
    <row r="902" spans="1:6" ht="13.8" thickBot="1" x14ac:dyDescent="0.3">
      <c r="A902" s="173"/>
      <c r="B902" s="45">
        <v>4</v>
      </c>
      <c r="C902" s="43">
        <f t="shared" si="60"/>
        <v>1030382.1416498577</v>
      </c>
      <c r="D902" s="43">
        <f t="shared" si="59"/>
        <v>123645.85699798292</v>
      </c>
      <c r="E902" s="44">
        <f t="shared" ref="E902:E965" si="61">D902/12</f>
        <v>10303.821416498577</v>
      </c>
      <c r="F902" s="44">
        <f t="shared" ref="F902:F965" si="62">E902/4</f>
        <v>2575.9553541246441</v>
      </c>
    </row>
    <row r="903" spans="1:6" ht="13.8" thickBot="1" x14ac:dyDescent="0.3">
      <c r="A903" s="172" t="s">
        <v>144</v>
      </c>
      <c r="B903" s="45">
        <v>1</v>
      </c>
      <c r="C903" s="43">
        <f t="shared" si="60"/>
        <v>1032958.0970039824</v>
      </c>
      <c r="D903" s="43">
        <f t="shared" ref="D903:D966" si="63">C903*$F$2</f>
        <v>123954.97164047789</v>
      </c>
      <c r="E903" s="44">
        <f t="shared" si="61"/>
        <v>10329.580970039824</v>
      </c>
      <c r="F903" s="44">
        <f t="shared" si="62"/>
        <v>2582.395242509956</v>
      </c>
    </row>
    <row r="904" spans="1:6" ht="13.8" thickBot="1" x14ac:dyDescent="0.3">
      <c r="A904" s="169"/>
      <c r="B904" s="45">
        <v>2</v>
      </c>
      <c r="C904" s="43">
        <f t="shared" si="60"/>
        <v>1035540.4922464923</v>
      </c>
      <c r="D904" s="43">
        <f t="shared" si="63"/>
        <v>124264.85906957908</v>
      </c>
      <c r="E904" s="44">
        <f t="shared" si="61"/>
        <v>10355.404922464922</v>
      </c>
      <c r="F904" s="44">
        <f t="shared" si="62"/>
        <v>2588.8512306162306</v>
      </c>
    </row>
    <row r="905" spans="1:6" ht="13.8" thickBot="1" x14ac:dyDescent="0.3">
      <c r="A905" s="169"/>
      <c r="B905" s="45">
        <v>3</v>
      </c>
      <c r="C905" s="43">
        <f t="shared" si="60"/>
        <v>1038129.3434771085</v>
      </c>
      <c r="D905" s="43">
        <f t="shared" si="63"/>
        <v>124575.52121725302</v>
      </c>
      <c r="E905" s="44">
        <f t="shared" si="61"/>
        <v>10381.293434771085</v>
      </c>
      <c r="F905" s="44">
        <f t="shared" si="62"/>
        <v>2595.3233586927713</v>
      </c>
    </row>
    <row r="906" spans="1:6" ht="13.8" thickBot="1" x14ac:dyDescent="0.3">
      <c r="A906" s="173"/>
      <c r="B906" s="45">
        <v>4</v>
      </c>
      <c r="C906" s="43">
        <f t="shared" si="60"/>
        <v>1040724.6668358013</v>
      </c>
      <c r="D906" s="43">
        <f t="shared" si="63"/>
        <v>124886.96002029616</v>
      </c>
      <c r="E906" s="44">
        <f t="shared" si="61"/>
        <v>10407.246668358013</v>
      </c>
      <c r="F906" s="44">
        <f t="shared" si="62"/>
        <v>2601.8116670895033</v>
      </c>
    </row>
    <row r="907" spans="1:6" ht="13.8" thickBot="1" x14ac:dyDescent="0.3">
      <c r="A907" s="172" t="s">
        <v>145</v>
      </c>
      <c r="B907" s="45">
        <v>1</v>
      </c>
      <c r="C907" s="43">
        <f t="shared" si="60"/>
        <v>1043326.4785028908</v>
      </c>
      <c r="D907" s="43">
        <f t="shared" si="63"/>
        <v>125199.1774203469</v>
      </c>
      <c r="E907" s="44">
        <f t="shared" si="61"/>
        <v>10433.264785028909</v>
      </c>
      <c r="F907" s="44">
        <f t="shared" si="62"/>
        <v>2608.3161962572271</v>
      </c>
    </row>
    <row r="908" spans="1:6" ht="13.8" thickBot="1" x14ac:dyDescent="0.3">
      <c r="A908" s="169"/>
      <c r="B908" s="45">
        <v>2</v>
      </c>
      <c r="C908" s="43">
        <f t="shared" si="60"/>
        <v>1045934.794699148</v>
      </c>
      <c r="D908" s="43">
        <f t="shared" si="63"/>
        <v>125512.17536389775</v>
      </c>
      <c r="E908" s="44">
        <f t="shared" si="61"/>
        <v>10459.34794699148</v>
      </c>
      <c r="F908" s="44">
        <f t="shared" si="62"/>
        <v>2614.83698674787</v>
      </c>
    </row>
    <row r="909" spans="1:6" ht="13.8" thickBot="1" x14ac:dyDescent="0.3">
      <c r="A909" s="169"/>
      <c r="B909" s="45">
        <v>3</v>
      </c>
      <c r="C909" s="43">
        <f t="shared" si="60"/>
        <v>1048549.631685896</v>
      </c>
      <c r="D909" s="43">
        <f t="shared" si="63"/>
        <v>125825.95580230751</v>
      </c>
      <c r="E909" s="44">
        <f t="shared" si="61"/>
        <v>10485.496316858958</v>
      </c>
      <c r="F909" s="44">
        <f t="shared" si="62"/>
        <v>2621.3740792147396</v>
      </c>
    </row>
    <row r="910" spans="1:6" ht="13.8" thickBot="1" x14ac:dyDescent="0.3">
      <c r="A910" s="173"/>
      <c r="B910" s="45">
        <v>4</v>
      </c>
      <c r="C910" s="43">
        <f t="shared" si="60"/>
        <v>1051171.0057651107</v>
      </c>
      <c r="D910" s="43">
        <f t="shared" si="63"/>
        <v>126140.52069181328</v>
      </c>
      <c r="E910" s="44">
        <f t="shared" si="61"/>
        <v>10511.710057651106</v>
      </c>
      <c r="F910" s="44">
        <f t="shared" si="62"/>
        <v>2627.9275144127764</v>
      </c>
    </row>
    <row r="911" spans="1:6" ht="13.8" thickBot="1" x14ac:dyDescent="0.3">
      <c r="A911" s="172" t="s">
        <v>146</v>
      </c>
      <c r="B911" s="45">
        <v>1</v>
      </c>
      <c r="C911" s="43">
        <f t="shared" si="60"/>
        <v>1053798.9332795234</v>
      </c>
      <c r="D911" s="43">
        <f t="shared" si="63"/>
        <v>126455.87199354281</v>
      </c>
      <c r="E911" s="44">
        <f t="shared" si="61"/>
        <v>10537.989332795234</v>
      </c>
      <c r="F911" s="44">
        <f t="shared" si="62"/>
        <v>2634.4973331988085</v>
      </c>
    </row>
    <row r="912" spans="1:6" ht="13.8" thickBot="1" x14ac:dyDescent="0.3">
      <c r="A912" s="169"/>
      <c r="B912" s="45">
        <v>2</v>
      </c>
      <c r="C912" s="43">
        <f t="shared" si="60"/>
        <v>1056433.4306127222</v>
      </c>
      <c r="D912" s="43">
        <f t="shared" si="63"/>
        <v>126772.01167352666</v>
      </c>
      <c r="E912" s="44">
        <f t="shared" si="61"/>
        <v>10564.334306127223</v>
      </c>
      <c r="F912" s="44">
        <f t="shared" si="62"/>
        <v>2641.0835765318056</v>
      </c>
    </row>
    <row r="913" spans="1:6" ht="13.8" thickBot="1" x14ac:dyDescent="0.3">
      <c r="A913" s="169"/>
      <c r="B913" s="45">
        <v>3</v>
      </c>
      <c r="C913" s="43">
        <f t="shared" si="60"/>
        <v>1059074.514189254</v>
      </c>
      <c r="D913" s="43">
        <f t="shared" si="63"/>
        <v>127088.94170271048</v>
      </c>
      <c r="E913" s="44">
        <f t="shared" si="61"/>
        <v>10590.745141892539</v>
      </c>
      <c r="F913" s="44">
        <f t="shared" si="62"/>
        <v>2647.6862854731348</v>
      </c>
    </row>
    <row r="914" spans="1:6" ht="13.8" thickBot="1" x14ac:dyDescent="0.3">
      <c r="A914" s="173"/>
      <c r="B914" s="45">
        <v>4</v>
      </c>
      <c r="C914" s="43">
        <f t="shared" si="60"/>
        <v>1061722.2004747272</v>
      </c>
      <c r="D914" s="43">
        <f t="shared" si="63"/>
        <v>127406.66405696726</v>
      </c>
      <c r="E914" s="44">
        <f t="shared" si="61"/>
        <v>10617.222004747271</v>
      </c>
      <c r="F914" s="44">
        <f t="shared" si="62"/>
        <v>2654.3055011868178</v>
      </c>
    </row>
    <row r="915" spans="1:6" ht="13.8" thickBot="1" x14ac:dyDescent="0.3">
      <c r="A915" s="172" t="s">
        <v>147</v>
      </c>
      <c r="B915" s="45">
        <v>1</v>
      </c>
      <c r="C915" s="43">
        <f t="shared" si="60"/>
        <v>1064376.505975914</v>
      </c>
      <c r="D915" s="43">
        <f t="shared" si="63"/>
        <v>127725.18071710967</v>
      </c>
      <c r="E915" s="44">
        <f t="shared" si="61"/>
        <v>10643.76505975914</v>
      </c>
      <c r="F915" s="44">
        <f t="shared" si="62"/>
        <v>2660.941264939785</v>
      </c>
    </row>
    <row r="916" spans="1:6" ht="13.8" thickBot="1" x14ac:dyDescent="0.3">
      <c r="A916" s="169"/>
      <c r="B916" s="45">
        <v>2</v>
      </c>
      <c r="C916" s="43">
        <f t="shared" si="60"/>
        <v>1067037.4472408537</v>
      </c>
      <c r="D916" s="43">
        <f t="shared" si="63"/>
        <v>128044.49366890243</v>
      </c>
      <c r="E916" s="44">
        <f t="shared" si="61"/>
        <v>10670.374472408535</v>
      </c>
      <c r="F916" s="44">
        <f t="shared" si="62"/>
        <v>2667.5936181021339</v>
      </c>
    </row>
    <row r="917" spans="1:6" ht="13.8" thickBot="1" x14ac:dyDescent="0.3">
      <c r="A917" s="169"/>
      <c r="B917" s="45">
        <v>3</v>
      </c>
      <c r="C917" s="43">
        <f t="shared" si="60"/>
        <v>1069705.0408589558</v>
      </c>
      <c r="D917" s="43">
        <f t="shared" si="63"/>
        <v>128364.60490307469</v>
      </c>
      <c r="E917" s="44">
        <f t="shared" si="61"/>
        <v>10697.050408589557</v>
      </c>
      <c r="F917" s="44">
        <f t="shared" si="62"/>
        <v>2674.2626021473893</v>
      </c>
    </row>
    <row r="918" spans="1:6" ht="13.8" thickBot="1" x14ac:dyDescent="0.3">
      <c r="A918" s="173"/>
      <c r="B918" s="45">
        <v>4</v>
      </c>
      <c r="C918" s="43">
        <f t="shared" si="60"/>
        <v>1072379.3034611032</v>
      </c>
      <c r="D918" s="43">
        <f t="shared" si="63"/>
        <v>128685.51641533239</v>
      </c>
      <c r="E918" s="44">
        <f t="shared" si="61"/>
        <v>10723.793034611032</v>
      </c>
      <c r="F918" s="44">
        <f t="shared" si="62"/>
        <v>2680.9482586527579</v>
      </c>
    </row>
    <row r="919" spans="1:6" ht="13.8" thickBot="1" x14ac:dyDescent="0.3">
      <c r="A919" s="172" t="s">
        <v>148</v>
      </c>
      <c r="B919" s="45">
        <v>1</v>
      </c>
      <c r="C919" s="43">
        <f t="shared" si="60"/>
        <v>1075060.2517197561</v>
      </c>
      <c r="D919" s="43">
        <f t="shared" si="63"/>
        <v>129007.23020637072</v>
      </c>
      <c r="E919" s="44">
        <f t="shared" si="61"/>
        <v>10750.60251719756</v>
      </c>
      <c r="F919" s="44">
        <f t="shared" si="62"/>
        <v>2687.6506292993899</v>
      </c>
    </row>
    <row r="920" spans="1:6" ht="13.8" thickBot="1" x14ac:dyDescent="0.3">
      <c r="A920" s="169"/>
      <c r="B920" s="45">
        <v>2</v>
      </c>
      <c r="C920" s="43">
        <f t="shared" si="60"/>
        <v>1077747.9023490555</v>
      </c>
      <c r="D920" s="43">
        <f t="shared" si="63"/>
        <v>129329.74828188666</v>
      </c>
      <c r="E920" s="44">
        <f t="shared" si="61"/>
        <v>10777.479023490554</v>
      </c>
      <c r="F920" s="44">
        <f t="shared" si="62"/>
        <v>2694.3697558726385</v>
      </c>
    </row>
    <row r="921" spans="1:6" ht="13.8" thickBot="1" x14ac:dyDescent="0.3">
      <c r="A921" s="169"/>
      <c r="B921" s="45">
        <v>3</v>
      </c>
      <c r="C921" s="43">
        <f t="shared" si="60"/>
        <v>1080442.272104928</v>
      </c>
      <c r="D921" s="43">
        <f t="shared" si="63"/>
        <v>129653.07265259136</v>
      </c>
      <c r="E921" s="44">
        <f t="shared" si="61"/>
        <v>10804.422721049281</v>
      </c>
      <c r="F921" s="44">
        <f t="shared" si="62"/>
        <v>2701.1056802623202</v>
      </c>
    </row>
    <row r="922" spans="1:6" ht="13.8" thickBot="1" x14ac:dyDescent="0.3">
      <c r="A922" s="173"/>
      <c r="B922" s="45">
        <v>4</v>
      </c>
      <c r="C922" s="43">
        <f t="shared" si="60"/>
        <v>1083143.3777851902</v>
      </c>
      <c r="D922" s="43">
        <f t="shared" si="63"/>
        <v>129977.20533422282</v>
      </c>
      <c r="E922" s="44">
        <f t="shared" si="61"/>
        <v>10831.433777851902</v>
      </c>
      <c r="F922" s="44">
        <f t="shared" si="62"/>
        <v>2707.8584444629755</v>
      </c>
    </row>
    <row r="923" spans="1:6" ht="13.8" thickBot="1" x14ac:dyDescent="0.3">
      <c r="A923" s="172" t="s">
        <v>149</v>
      </c>
      <c r="B923" s="45">
        <v>1</v>
      </c>
      <c r="C923" s="43">
        <f t="shared" si="60"/>
        <v>1085851.2362296532</v>
      </c>
      <c r="D923" s="43">
        <f t="shared" si="63"/>
        <v>130302.14834755838</v>
      </c>
      <c r="E923" s="44">
        <f t="shared" si="61"/>
        <v>10858.512362296531</v>
      </c>
      <c r="F923" s="44">
        <f t="shared" si="62"/>
        <v>2714.6280905741328</v>
      </c>
    </row>
    <row r="924" spans="1:6" ht="13.8" thickBot="1" x14ac:dyDescent="0.3">
      <c r="A924" s="169"/>
      <c r="B924" s="45">
        <v>2</v>
      </c>
      <c r="C924" s="43">
        <f t="shared" si="60"/>
        <v>1088565.8643202274</v>
      </c>
      <c r="D924" s="43">
        <f t="shared" si="63"/>
        <v>130627.90371842729</v>
      </c>
      <c r="E924" s="44">
        <f t="shared" si="61"/>
        <v>10885.658643202274</v>
      </c>
      <c r="F924" s="44">
        <f t="shared" si="62"/>
        <v>2721.4146608005685</v>
      </c>
    </row>
    <row r="925" spans="1:6" ht="13.8" thickBot="1" x14ac:dyDescent="0.3">
      <c r="A925" s="169"/>
      <c r="B925" s="45">
        <v>3</v>
      </c>
      <c r="C925" s="43">
        <f t="shared" si="60"/>
        <v>1091287.2789810279</v>
      </c>
      <c r="D925" s="43">
        <f t="shared" si="63"/>
        <v>130954.47347772334</v>
      </c>
      <c r="E925" s="44">
        <f t="shared" si="61"/>
        <v>10912.872789810279</v>
      </c>
      <c r="F925" s="44">
        <f t="shared" si="62"/>
        <v>2728.2181974525697</v>
      </c>
    </row>
    <row r="926" spans="1:6" ht="13.8" thickBot="1" x14ac:dyDescent="0.3">
      <c r="A926" s="173"/>
      <c r="B926" s="45">
        <v>4</v>
      </c>
      <c r="C926" s="43">
        <f t="shared" si="60"/>
        <v>1094015.4971784805</v>
      </c>
      <c r="D926" s="43">
        <f t="shared" si="63"/>
        <v>131281.85966141766</v>
      </c>
      <c r="E926" s="44">
        <f t="shared" si="61"/>
        <v>10940.154971784805</v>
      </c>
      <c r="F926" s="44">
        <f t="shared" si="62"/>
        <v>2735.0387429462012</v>
      </c>
    </row>
    <row r="927" spans="1:6" ht="13.8" thickBot="1" x14ac:dyDescent="0.3">
      <c r="A927" s="172" t="s">
        <v>150</v>
      </c>
      <c r="B927" s="45">
        <v>1</v>
      </c>
      <c r="C927" s="43">
        <f t="shared" si="60"/>
        <v>1096750.5359214267</v>
      </c>
      <c r="D927" s="43">
        <f t="shared" si="63"/>
        <v>131610.06431057121</v>
      </c>
      <c r="E927" s="44">
        <f t="shared" si="61"/>
        <v>10967.505359214267</v>
      </c>
      <c r="F927" s="44">
        <f t="shared" si="62"/>
        <v>2741.8763398035667</v>
      </c>
    </row>
    <row r="928" spans="1:6" ht="13.8" thickBot="1" x14ac:dyDescent="0.3">
      <c r="A928" s="169"/>
      <c r="B928" s="45">
        <v>2</v>
      </c>
      <c r="C928" s="43">
        <f t="shared" si="60"/>
        <v>1099492.4122612304</v>
      </c>
      <c r="D928" s="43">
        <f t="shared" si="63"/>
        <v>131939.08947134763</v>
      </c>
      <c r="E928" s="44">
        <f t="shared" si="61"/>
        <v>10994.924122612303</v>
      </c>
      <c r="F928" s="44">
        <f t="shared" si="62"/>
        <v>2748.7310306530758</v>
      </c>
    </row>
    <row r="929" spans="1:6" ht="13.8" thickBot="1" x14ac:dyDescent="0.3">
      <c r="A929" s="169"/>
      <c r="B929" s="45">
        <v>3</v>
      </c>
      <c r="C929" s="43">
        <f t="shared" si="60"/>
        <v>1102241.1432918834</v>
      </c>
      <c r="D929" s="43">
        <f t="shared" si="63"/>
        <v>132268.937195026</v>
      </c>
      <c r="E929" s="44">
        <f t="shared" si="61"/>
        <v>11022.411432918832</v>
      </c>
      <c r="F929" s="44">
        <f t="shared" si="62"/>
        <v>2755.6028582297081</v>
      </c>
    </row>
    <row r="930" spans="1:6" ht="13.8" thickBot="1" x14ac:dyDescent="0.3">
      <c r="A930" s="173"/>
      <c r="B930" s="45">
        <v>4</v>
      </c>
      <c r="C930" s="43">
        <f t="shared" si="60"/>
        <v>1104996.7461501132</v>
      </c>
      <c r="D930" s="43">
        <f t="shared" si="63"/>
        <v>132599.60953801358</v>
      </c>
      <c r="E930" s="44">
        <f t="shared" si="61"/>
        <v>11049.967461501132</v>
      </c>
      <c r="F930" s="44">
        <f t="shared" si="62"/>
        <v>2762.4918653752829</v>
      </c>
    </row>
    <row r="931" spans="1:6" ht="13.8" thickBot="1" x14ac:dyDescent="0.3">
      <c r="A931" s="172" t="s">
        <v>151</v>
      </c>
      <c r="B931" s="45">
        <v>1</v>
      </c>
      <c r="C931" s="43">
        <f t="shared" si="60"/>
        <v>1107759.2380154885</v>
      </c>
      <c r="D931" s="43">
        <f t="shared" si="63"/>
        <v>132931.10856185862</v>
      </c>
      <c r="E931" s="44">
        <f t="shared" si="61"/>
        <v>11077.592380154885</v>
      </c>
      <c r="F931" s="44">
        <f t="shared" si="62"/>
        <v>2769.3980950387213</v>
      </c>
    </row>
    <row r="932" spans="1:6" ht="13.8" thickBot="1" x14ac:dyDescent="0.3">
      <c r="A932" s="169"/>
      <c r="B932" s="45">
        <v>2</v>
      </c>
      <c r="C932" s="43">
        <f t="shared" si="60"/>
        <v>1110528.6361105272</v>
      </c>
      <c r="D932" s="43">
        <f t="shared" si="63"/>
        <v>133263.43633326326</v>
      </c>
      <c r="E932" s="44">
        <f t="shared" si="61"/>
        <v>11105.286361105273</v>
      </c>
      <c r="F932" s="44">
        <f t="shared" si="62"/>
        <v>2776.3215902763181</v>
      </c>
    </row>
    <row r="933" spans="1:6" ht="13.8" thickBot="1" x14ac:dyDescent="0.3">
      <c r="A933" s="169"/>
      <c r="B933" s="45">
        <v>3</v>
      </c>
      <c r="C933" s="43">
        <f t="shared" si="60"/>
        <v>1113304.9577008034</v>
      </c>
      <c r="D933" s="43">
        <f t="shared" si="63"/>
        <v>133596.5949240964</v>
      </c>
      <c r="E933" s="44">
        <f t="shared" si="61"/>
        <v>11133.049577008032</v>
      </c>
      <c r="F933" s="44">
        <f t="shared" si="62"/>
        <v>2783.2623942520081</v>
      </c>
    </row>
    <row r="934" spans="1:6" ht="13.8" thickBot="1" x14ac:dyDescent="0.3">
      <c r="A934" s="173"/>
      <c r="B934" s="45">
        <v>4</v>
      </c>
      <c r="C934" s="43">
        <f t="shared" si="60"/>
        <v>1116088.2200950554</v>
      </c>
      <c r="D934" s="43">
        <f t="shared" si="63"/>
        <v>133930.58641140664</v>
      </c>
      <c r="E934" s="44">
        <f t="shared" si="61"/>
        <v>11160.882200950553</v>
      </c>
      <c r="F934" s="44">
        <f t="shared" si="62"/>
        <v>2790.2205502376382</v>
      </c>
    </row>
    <row r="935" spans="1:6" ht="13.8" thickBot="1" x14ac:dyDescent="0.3">
      <c r="A935" s="172" t="s">
        <v>152</v>
      </c>
      <c r="B935" s="45">
        <v>1</v>
      </c>
      <c r="C935" s="43">
        <f t="shared" si="60"/>
        <v>1118878.4406452931</v>
      </c>
      <c r="D935" s="43">
        <f t="shared" si="63"/>
        <v>134265.41287743516</v>
      </c>
      <c r="E935" s="44">
        <f t="shared" si="61"/>
        <v>11188.784406452929</v>
      </c>
      <c r="F935" s="44">
        <f t="shared" si="62"/>
        <v>2797.1961016132323</v>
      </c>
    </row>
    <row r="936" spans="1:6" ht="13.8" thickBot="1" x14ac:dyDescent="0.3">
      <c r="A936" s="169"/>
      <c r="B936" s="45">
        <v>2</v>
      </c>
      <c r="C936" s="43">
        <f t="shared" si="60"/>
        <v>1121675.6367469064</v>
      </c>
      <c r="D936" s="43">
        <f t="shared" si="63"/>
        <v>134601.07640962876</v>
      </c>
      <c r="E936" s="44">
        <f t="shared" si="61"/>
        <v>11216.756367469063</v>
      </c>
      <c r="F936" s="44">
        <f t="shared" si="62"/>
        <v>2804.1890918672657</v>
      </c>
    </row>
    <row r="937" spans="1:6" ht="13.8" thickBot="1" x14ac:dyDescent="0.3">
      <c r="A937" s="169"/>
      <c r="B937" s="45">
        <v>3</v>
      </c>
      <c r="C937" s="43">
        <f t="shared" si="60"/>
        <v>1124479.8258387737</v>
      </c>
      <c r="D937" s="43">
        <f t="shared" si="63"/>
        <v>134937.57910065283</v>
      </c>
      <c r="E937" s="44">
        <f t="shared" si="61"/>
        <v>11244.798258387736</v>
      </c>
      <c r="F937" s="44">
        <f t="shared" si="62"/>
        <v>2811.1995645969341</v>
      </c>
    </row>
    <row r="938" spans="1:6" ht="13.8" thickBot="1" x14ac:dyDescent="0.3">
      <c r="A938" s="173"/>
      <c r="B938" s="45">
        <v>4</v>
      </c>
      <c r="C938" s="43">
        <f t="shared" si="60"/>
        <v>1127291.0254033706</v>
      </c>
      <c r="D938" s="43">
        <f t="shared" si="63"/>
        <v>135274.92304840448</v>
      </c>
      <c r="E938" s="44">
        <f t="shared" si="61"/>
        <v>11272.910254033706</v>
      </c>
      <c r="F938" s="44">
        <f t="shared" si="62"/>
        <v>2818.2275635084266</v>
      </c>
    </row>
    <row r="939" spans="1:6" ht="13.8" thickBot="1" x14ac:dyDescent="0.3">
      <c r="A939" s="172" t="s">
        <v>153</v>
      </c>
      <c r="B939" s="45">
        <v>1</v>
      </c>
      <c r="C939" s="43">
        <f t="shared" si="60"/>
        <v>1130109.2529668789</v>
      </c>
      <c r="D939" s="43">
        <f t="shared" si="63"/>
        <v>135613.11035602546</v>
      </c>
      <c r="E939" s="44">
        <f t="shared" si="61"/>
        <v>11301.092529668787</v>
      </c>
      <c r="F939" s="44">
        <f t="shared" si="62"/>
        <v>2825.2731324171968</v>
      </c>
    </row>
    <row r="940" spans="1:6" ht="13.8" thickBot="1" x14ac:dyDescent="0.3">
      <c r="A940" s="169"/>
      <c r="B940" s="45">
        <v>2</v>
      </c>
      <c r="C940" s="43">
        <f t="shared" si="60"/>
        <v>1132934.5260992961</v>
      </c>
      <c r="D940" s="43">
        <f t="shared" si="63"/>
        <v>135952.14313191551</v>
      </c>
      <c r="E940" s="44">
        <f t="shared" si="61"/>
        <v>11329.345260992959</v>
      </c>
      <c r="F940" s="44">
        <f t="shared" si="62"/>
        <v>2832.3363152482398</v>
      </c>
    </row>
    <row r="941" spans="1:6" ht="13.8" thickBot="1" x14ac:dyDescent="0.3">
      <c r="A941" s="169"/>
      <c r="B941" s="45">
        <v>3</v>
      </c>
      <c r="C941" s="43">
        <f t="shared" si="60"/>
        <v>1135766.8624145442</v>
      </c>
      <c r="D941" s="43">
        <f t="shared" si="63"/>
        <v>136292.0234897453</v>
      </c>
      <c r="E941" s="44">
        <f t="shared" si="61"/>
        <v>11357.668624145443</v>
      </c>
      <c r="F941" s="44">
        <f t="shared" si="62"/>
        <v>2839.4171560363607</v>
      </c>
    </row>
    <row r="942" spans="1:6" x14ac:dyDescent="0.25">
      <c r="A942" s="173"/>
      <c r="B942" s="45">
        <v>4</v>
      </c>
      <c r="C942" s="43">
        <f t="shared" si="60"/>
        <v>1138606.2795705805</v>
      </c>
      <c r="D942" s="43">
        <f t="shared" si="63"/>
        <v>136632.75354846966</v>
      </c>
      <c r="E942" s="44">
        <f t="shared" si="61"/>
        <v>11386.062795705804</v>
      </c>
      <c r="F942" s="44">
        <f t="shared" si="62"/>
        <v>2846.515698926451</v>
      </c>
    </row>
    <row r="943" spans="1:6" ht="13.8" thickBot="1" x14ac:dyDescent="0.3">
      <c r="A943" s="175" t="s">
        <v>154</v>
      </c>
      <c r="B943" s="47">
        <v>1</v>
      </c>
      <c r="C943" s="43">
        <f t="shared" si="60"/>
        <v>1141452.795269507</v>
      </c>
      <c r="D943" s="43">
        <f t="shared" si="63"/>
        <v>136974.33543234083</v>
      </c>
      <c r="E943" s="44">
        <f t="shared" si="61"/>
        <v>11414.527952695069</v>
      </c>
      <c r="F943" s="44">
        <f t="shared" si="62"/>
        <v>2853.6319881737672</v>
      </c>
    </row>
    <row r="944" spans="1:6" ht="13.8" thickBot="1" x14ac:dyDescent="0.3">
      <c r="A944" s="169"/>
      <c r="B944" s="45">
        <v>2</v>
      </c>
      <c r="C944" s="43">
        <f t="shared" si="60"/>
        <v>1144306.4272576808</v>
      </c>
      <c r="D944" s="43">
        <f t="shared" si="63"/>
        <v>137316.77127092169</v>
      </c>
      <c r="E944" s="44">
        <f t="shared" si="61"/>
        <v>11443.064272576807</v>
      </c>
      <c r="F944" s="44">
        <f t="shared" si="62"/>
        <v>2860.7660681442017</v>
      </c>
    </row>
    <row r="945" spans="1:6" ht="13.8" thickBot="1" x14ac:dyDescent="0.3">
      <c r="A945" s="169"/>
      <c r="B945" s="45">
        <v>3</v>
      </c>
      <c r="C945" s="43">
        <f t="shared" si="60"/>
        <v>1147167.193325825</v>
      </c>
      <c r="D945" s="43">
        <f t="shared" si="63"/>
        <v>137660.06319909901</v>
      </c>
      <c r="E945" s="44">
        <f t="shared" si="61"/>
        <v>11471.671933258251</v>
      </c>
      <c r="F945" s="44">
        <f t="shared" si="62"/>
        <v>2867.9179833145627</v>
      </c>
    </row>
    <row r="946" spans="1:6" ht="13.8" thickBot="1" x14ac:dyDescent="0.3">
      <c r="A946" s="173"/>
      <c r="B946" s="45">
        <v>4</v>
      </c>
      <c r="C946" s="43">
        <f t="shared" si="60"/>
        <v>1150035.1113091395</v>
      </c>
      <c r="D946" s="43">
        <f t="shared" si="63"/>
        <v>138004.21335709674</v>
      </c>
      <c r="E946" s="44">
        <f t="shared" si="61"/>
        <v>11500.351113091396</v>
      </c>
      <c r="F946" s="44">
        <f t="shared" si="62"/>
        <v>2875.0877782728489</v>
      </c>
    </row>
    <row r="947" spans="1:6" ht="13.8" thickBot="1" x14ac:dyDescent="0.3">
      <c r="A947" s="172" t="s">
        <v>155</v>
      </c>
      <c r="B947" s="45">
        <v>1</v>
      </c>
      <c r="C947" s="43">
        <f t="shared" si="60"/>
        <v>1152910.1990874123</v>
      </c>
      <c r="D947" s="43">
        <f t="shared" si="63"/>
        <v>138349.22389048946</v>
      </c>
      <c r="E947" s="44">
        <f t="shared" si="61"/>
        <v>11529.101990874122</v>
      </c>
      <c r="F947" s="44">
        <f t="shared" si="62"/>
        <v>2882.2754977185305</v>
      </c>
    </row>
    <row r="948" spans="1:6" ht="13.8" thickBot="1" x14ac:dyDescent="0.3">
      <c r="A948" s="169"/>
      <c r="B948" s="45">
        <v>2</v>
      </c>
      <c r="C948" s="43">
        <f t="shared" si="60"/>
        <v>1155792.4745851308</v>
      </c>
      <c r="D948" s="43">
        <f t="shared" si="63"/>
        <v>138695.09695021569</v>
      </c>
      <c r="E948" s="44">
        <f t="shared" si="61"/>
        <v>11557.924745851307</v>
      </c>
      <c r="F948" s="44">
        <f t="shared" si="62"/>
        <v>2889.4811864628268</v>
      </c>
    </row>
    <row r="949" spans="1:6" ht="13.8" thickBot="1" x14ac:dyDescent="0.3">
      <c r="A949" s="169"/>
      <c r="B949" s="45">
        <v>3</v>
      </c>
      <c r="C949" s="43">
        <f t="shared" si="60"/>
        <v>1158681.9557715936</v>
      </c>
      <c r="D949" s="43">
        <f t="shared" si="63"/>
        <v>139041.83469259122</v>
      </c>
      <c r="E949" s="44">
        <f t="shared" si="61"/>
        <v>11586.819557715935</v>
      </c>
      <c r="F949" s="44">
        <f t="shared" si="62"/>
        <v>2896.7048894289837</v>
      </c>
    </row>
    <row r="950" spans="1:6" ht="13.8" thickBot="1" x14ac:dyDescent="0.3">
      <c r="A950" s="173"/>
      <c r="B950" s="45">
        <v>4</v>
      </c>
      <c r="C950" s="43">
        <f t="shared" si="60"/>
        <v>1161578.6606610226</v>
      </c>
      <c r="D950" s="43">
        <f t="shared" si="63"/>
        <v>139389.43927932272</v>
      </c>
      <c r="E950" s="44">
        <f t="shared" si="61"/>
        <v>11615.786606610227</v>
      </c>
      <c r="F950" s="44">
        <f t="shared" si="62"/>
        <v>2903.9466516525567</v>
      </c>
    </row>
    <row r="951" spans="1:6" ht="13.8" thickBot="1" x14ac:dyDescent="0.3">
      <c r="A951" s="172" t="s">
        <v>156</v>
      </c>
      <c r="B951" s="45">
        <v>1</v>
      </c>
      <c r="C951" s="43">
        <f t="shared" ref="C951:C990" si="64">IF(B951=1,C950+F950+$B$3,C950+F950)</f>
        <v>1164482.6073126751</v>
      </c>
      <c r="D951" s="43">
        <f t="shared" si="63"/>
        <v>139737.91287752101</v>
      </c>
      <c r="E951" s="44">
        <f t="shared" si="61"/>
        <v>11644.826073126751</v>
      </c>
      <c r="F951" s="44">
        <f t="shared" si="62"/>
        <v>2911.2065182816877</v>
      </c>
    </row>
    <row r="952" spans="1:6" ht="13.8" thickBot="1" x14ac:dyDescent="0.3">
      <c r="A952" s="169"/>
      <c r="B952" s="45">
        <v>2</v>
      </c>
      <c r="C952" s="43">
        <f t="shared" si="64"/>
        <v>1167393.8138309568</v>
      </c>
      <c r="D952" s="43">
        <f t="shared" si="63"/>
        <v>140087.25765971481</v>
      </c>
      <c r="E952" s="44">
        <f t="shared" si="61"/>
        <v>11673.938138309568</v>
      </c>
      <c r="F952" s="44">
        <f t="shared" si="62"/>
        <v>2918.484534577392</v>
      </c>
    </row>
    <row r="953" spans="1:6" ht="13.8" thickBot="1" x14ac:dyDescent="0.3">
      <c r="A953" s="169"/>
      <c r="B953" s="45">
        <v>3</v>
      </c>
      <c r="C953" s="43">
        <f t="shared" si="64"/>
        <v>1170312.2983655343</v>
      </c>
      <c r="D953" s="43">
        <f t="shared" si="63"/>
        <v>140437.4758038641</v>
      </c>
      <c r="E953" s="44">
        <f t="shared" si="61"/>
        <v>11703.122983655341</v>
      </c>
      <c r="F953" s="44">
        <f t="shared" si="62"/>
        <v>2925.7807459138353</v>
      </c>
    </row>
    <row r="954" spans="1:6" ht="13.8" thickBot="1" x14ac:dyDescent="0.3">
      <c r="A954" s="173"/>
      <c r="B954" s="45">
        <v>4</v>
      </c>
      <c r="C954" s="43">
        <f t="shared" si="64"/>
        <v>1173238.079111448</v>
      </c>
      <c r="D954" s="43">
        <f t="shared" si="63"/>
        <v>140788.56949337377</v>
      </c>
      <c r="E954" s="44">
        <f t="shared" si="61"/>
        <v>11732.380791114481</v>
      </c>
      <c r="F954" s="44">
        <f t="shared" si="62"/>
        <v>2933.0951977786203</v>
      </c>
    </row>
    <row r="955" spans="1:6" ht="13.8" thickBot="1" x14ac:dyDescent="0.3">
      <c r="A955" s="172" t="s">
        <v>157</v>
      </c>
      <c r="B955" s="45">
        <v>1</v>
      </c>
      <c r="C955" s="43">
        <f t="shared" si="64"/>
        <v>1176171.1743092267</v>
      </c>
      <c r="D955" s="43">
        <f t="shared" si="63"/>
        <v>141140.5409171072</v>
      </c>
      <c r="E955" s="44">
        <f t="shared" si="61"/>
        <v>11761.711743092266</v>
      </c>
      <c r="F955" s="44">
        <f t="shared" si="62"/>
        <v>2940.4279357730666</v>
      </c>
    </row>
    <row r="956" spans="1:6" ht="13.8" thickBot="1" x14ac:dyDescent="0.3">
      <c r="A956" s="169"/>
      <c r="B956" s="45">
        <v>2</v>
      </c>
      <c r="C956" s="43">
        <f t="shared" si="64"/>
        <v>1179111.6022449997</v>
      </c>
      <c r="D956" s="43">
        <f t="shared" si="63"/>
        <v>141493.39226939995</v>
      </c>
      <c r="E956" s="44">
        <f t="shared" si="61"/>
        <v>11791.116022449996</v>
      </c>
      <c r="F956" s="44">
        <f t="shared" si="62"/>
        <v>2947.7790056124991</v>
      </c>
    </row>
    <row r="957" spans="1:6" ht="13.8" thickBot="1" x14ac:dyDescent="0.3">
      <c r="A957" s="169"/>
      <c r="B957" s="45">
        <v>3</v>
      </c>
      <c r="C957" s="43">
        <f t="shared" si="64"/>
        <v>1182059.3812506122</v>
      </c>
      <c r="D957" s="43">
        <f t="shared" si="63"/>
        <v>141847.12575007346</v>
      </c>
      <c r="E957" s="44">
        <f t="shared" si="61"/>
        <v>11820.593812506122</v>
      </c>
      <c r="F957" s="44">
        <f t="shared" si="62"/>
        <v>2955.1484531265305</v>
      </c>
    </row>
    <row r="958" spans="1:6" ht="13.8" thickBot="1" x14ac:dyDescent="0.3">
      <c r="A958" s="173"/>
      <c r="B958" s="45">
        <v>4</v>
      </c>
      <c r="C958" s="43">
        <f t="shared" si="64"/>
        <v>1185014.5297037386</v>
      </c>
      <c r="D958" s="43">
        <f t="shared" si="63"/>
        <v>142201.74356444864</v>
      </c>
      <c r="E958" s="44">
        <f t="shared" si="61"/>
        <v>11850.145297037387</v>
      </c>
      <c r="F958" s="44">
        <f t="shared" si="62"/>
        <v>2962.5363242593467</v>
      </c>
    </row>
    <row r="959" spans="1:6" ht="13.8" thickBot="1" x14ac:dyDescent="0.3">
      <c r="A959" s="172" t="s">
        <v>158</v>
      </c>
      <c r="B959" s="45">
        <v>1</v>
      </c>
      <c r="C959" s="43">
        <f t="shared" si="64"/>
        <v>1187977.066027998</v>
      </c>
      <c r="D959" s="43">
        <f t="shared" si="63"/>
        <v>142557.24792335974</v>
      </c>
      <c r="E959" s="44">
        <f t="shared" si="61"/>
        <v>11879.770660279979</v>
      </c>
      <c r="F959" s="44">
        <f t="shared" si="62"/>
        <v>2969.9426650699947</v>
      </c>
    </row>
    <row r="960" spans="1:6" ht="13.8" thickBot="1" x14ac:dyDescent="0.3">
      <c r="A960" s="169"/>
      <c r="B960" s="45">
        <v>2</v>
      </c>
      <c r="C960" s="43">
        <f t="shared" si="64"/>
        <v>1190947.0086930681</v>
      </c>
      <c r="D960" s="43">
        <f t="shared" si="63"/>
        <v>142913.64104316817</v>
      </c>
      <c r="E960" s="44">
        <f t="shared" si="61"/>
        <v>11909.470086930682</v>
      </c>
      <c r="F960" s="44">
        <f t="shared" si="62"/>
        <v>2977.3675217326704</v>
      </c>
    </row>
    <row r="961" spans="1:6" ht="13.8" thickBot="1" x14ac:dyDescent="0.3">
      <c r="A961" s="169"/>
      <c r="B961" s="45">
        <v>3</v>
      </c>
      <c r="C961" s="43">
        <f t="shared" si="64"/>
        <v>1193924.3762148006</v>
      </c>
      <c r="D961" s="43">
        <f t="shared" si="63"/>
        <v>143270.92514577607</v>
      </c>
      <c r="E961" s="44">
        <f t="shared" si="61"/>
        <v>11939.243762148006</v>
      </c>
      <c r="F961" s="44">
        <f t="shared" si="62"/>
        <v>2984.8109405370014</v>
      </c>
    </row>
    <row r="962" spans="1:6" ht="13.8" thickBot="1" x14ac:dyDescent="0.3">
      <c r="A962" s="173"/>
      <c r="B962" s="45">
        <v>4</v>
      </c>
      <c r="C962" s="43">
        <f t="shared" si="64"/>
        <v>1196909.1871553375</v>
      </c>
      <c r="D962" s="43">
        <f t="shared" si="63"/>
        <v>143629.1024586405</v>
      </c>
      <c r="E962" s="44">
        <f t="shared" si="61"/>
        <v>11969.091871553375</v>
      </c>
      <c r="F962" s="44">
        <f t="shared" si="62"/>
        <v>2992.2729678883438</v>
      </c>
    </row>
    <row r="963" spans="1:6" ht="13.8" thickBot="1" x14ac:dyDescent="0.3">
      <c r="A963" s="172" t="s">
        <v>159</v>
      </c>
      <c r="B963" s="45">
        <v>1</v>
      </c>
      <c r="C963" s="43">
        <f t="shared" si="64"/>
        <v>1199901.4601232258</v>
      </c>
      <c r="D963" s="43">
        <f t="shared" si="63"/>
        <v>143988.1752147871</v>
      </c>
      <c r="E963" s="44">
        <f t="shared" si="61"/>
        <v>11999.014601232258</v>
      </c>
      <c r="F963" s="44">
        <f t="shared" si="62"/>
        <v>2999.7536503080646</v>
      </c>
    </row>
    <row r="964" spans="1:6" ht="13.8" thickBot="1" x14ac:dyDescent="0.3">
      <c r="A964" s="169"/>
      <c r="B964" s="45">
        <v>2</v>
      </c>
      <c r="C964" s="43">
        <f t="shared" si="64"/>
        <v>1202901.2137735339</v>
      </c>
      <c r="D964" s="43">
        <f t="shared" si="63"/>
        <v>144348.14565282405</v>
      </c>
      <c r="E964" s="44">
        <f t="shared" si="61"/>
        <v>12029.012137735337</v>
      </c>
      <c r="F964" s="44">
        <f t="shared" si="62"/>
        <v>3007.2530344338343</v>
      </c>
    </row>
    <row r="965" spans="1:6" ht="13.8" thickBot="1" x14ac:dyDescent="0.3">
      <c r="A965" s="169"/>
      <c r="B965" s="45">
        <v>3</v>
      </c>
      <c r="C965" s="43">
        <f t="shared" si="64"/>
        <v>1205908.4668079678</v>
      </c>
      <c r="D965" s="43">
        <f t="shared" si="63"/>
        <v>144709.01601695613</v>
      </c>
      <c r="E965" s="44">
        <f t="shared" si="61"/>
        <v>12059.084668079677</v>
      </c>
      <c r="F965" s="44">
        <f t="shared" si="62"/>
        <v>3014.7711670199192</v>
      </c>
    </row>
    <row r="966" spans="1:6" ht="13.8" thickBot="1" x14ac:dyDescent="0.3">
      <c r="A966" s="173"/>
      <c r="B966" s="45">
        <v>4</v>
      </c>
      <c r="C966" s="43">
        <f t="shared" si="64"/>
        <v>1208923.2379749876</v>
      </c>
      <c r="D966" s="43">
        <f t="shared" si="63"/>
        <v>145070.78855699851</v>
      </c>
      <c r="E966" s="44">
        <f t="shared" ref="E966:E990" si="65">D966/12</f>
        <v>12089.232379749876</v>
      </c>
      <c r="F966" s="44">
        <f t="shared" ref="F966:F990" si="66">E966/4</f>
        <v>3022.3080949374689</v>
      </c>
    </row>
    <row r="967" spans="1:6" ht="13.8" thickBot="1" x14ac:dyDescent="0.3">
      <c r="A967" s="172" t="s">
        <v>160</v>
      </c>
      <c r="B967" s="45">
        <v>1</v>
      </c>
      <c r="C967" s="43">
        <f t="shared" si="64"/>
        <v>1211945.546069925</v>
      </c>
      <c r="D967" s="43">
        <f t="shared" ref="D967:D990" si="67">C967*$F$2</f>
        <v>145433.46552839098</v>
      </c>
      <c r="E967" s="44">
        <f t="shared" si="65"/>
        <v>12119.455460699248</v>
      </c>
      <c r="F967" s="44">
        <f t="shared" si="66"/>
        <v>3029.863865174812</v>
      </c>
    </row>
    <row r="968" spans="1:6" ht="13.8" thickBot="1" x14ac:dyDescent="0.3">
      <c r="A968" s="169"/>
      <c r="B968" s="45">
        <v>2</v>
      </c>
      <c r="C968" s="43">
        <f t="shared" si="64"/>
        <v>1214975.4099350998</v>
      </c>
      <c r="D968" s="43">
        <f t="shared" si="67"/>
        <v>145797.04919221197</v>
      </c>
      <c r="E968" s="44">
        <f t="shared" si="65"/>
        <v>12149.754099350997</v>
      </c>
      <c r="F968" s="44">
        <f t="shared" si="66"/>
        <v>3037.4385248377494</v>
      </c>
    </row>
    <row r="969" spans="1:6" ht="13.8" thickBot="1" x14ac:dyDescent="0.3">
      <c r="A969" s="169"/>
      <c r="B969" s="45">
        <v>3</v>
      </c>
      <c r="C969" s="43">
        <f t="shared" si="64"/>
        <v>1218012.8484599376</v>
      </c>
      <c r="D969" s="43">
        <f t="shared" si="67"/>
        <v>146161.5418151925</v>
      </c>
      <c r="E969" s="44">
        <f t="shared" si="65"/>
        <v>12180.128484599374</v>
      </c>
      <c r="F969" s="44">
        <f t="shared" si="66"/>
        <v>3045.0321211498435</v>
      </c>
    </row>
    <row r="970" spans="1:6" ht="13.8" thickBot="1" x14ac:dyDescent="0.3">
      <c r="A970" s="173"/>
      <c r="B970" s="45">
        <v>4</v>
      </c>
      <c r="C970" s="43">
        <f t="shared" si="64"/>
        <v>1221057.8805810874</v>
      </c>
      <c r="D970" s="43">
        <f t="shared" si="67"/>
        <v>146526.94566973048</v>
      </c>
      <c r="E970" s="44">
        <f t="shared" si="65"/>
        <v>12210.578805810874</v>
      </c>
      <c r="F970" s="44">
        <f t="shared" si="66"/>
        <v>3052.6447014527184</v>
      </c>
    </row>
    <row r="971" spans="1:6" ht="13.8" thickBot="1" x14ac:dyDescent="0.3">
      <c r="A971" s="172" t="s">
        <v>161</v>
      </c>
      <c r="B971" s="45">
        <v>1</v>
      </c>
      <c r="C971" s="43">
        <f t="shared" si="64"/>
        <v>1224110.5252825401</v>
      </c>
      <c r="D971" s="43">
        <f t="shared" si="67"/>
        <v>146893.2630339048</v>
      </c>
      <c r="E971" s="44">
        <f t="shared" si="65"/>
        <v>12241.1052528254</v>
      </c>
      <c r="F971" s="44">
        <f t="shared" si="66"/>
        <v>3060.2763132063501</v>
      </c>
    </row>
    <row r="972" spans="1:6" ht="13.8" thickBot="1" x14ac:dyDescent="0.3">
      <c r="A972" s="169"/>
      <c r="B972" s="45">
        <v>2</v>
      </c>
      <c r="C972" s="43">
        <f t="shared" si="64"/>
        <v>1227170.8015957465</v>
      </c>
      <c r="D972" s="43">
        <f t="shared" si="67"/>
        <v>147260.49619148957</v>
      </c>
      <c r="E972" s="44">
        <f t="shared" si="65"/>
        <v>12271.708015957463</v>
      </c>
      <c r="F972" s="44">
        <f t="shared" si="66"/>
        <v>3067.9270039893659</v>
      </c>
    </row>
    <row r="973" spans="1:6" ht="13.8" thickBot="1" x14ac:dyDescent="0.3">
      <c r="A973" s="169"/>
      <c r="B973" s="45">
        <v>3</v>
      </c>
      <c r="C973" s="43">
        <f t="shared" si="64"/>
        <v>1230238.728599736</v>
      </c>
      <c r="D973" s="43">
        <f t="shared" si="67"/>
        <v>147628.6474319683</v>
      </c>
      <c r="E973" s="44">
        <f t="shared" si="65"/>
        <v>12302.387285997358</v>
      </c>
      <c r="F973" s="44">
        <f t="shared" si="66"/>
        <v>3075.5968214993395</v>
      </c>
    </row>
    <row r="974" spans="1:6" ht="13.8" thickBot="1" x14ac:dyDescent="0.3">
      <c r="A974" s="173"/>
      <c r="B974" s="45">
        <v>4</v>
      </c>
      <c r="C974" s="43">
        <f t="shared" si="64"/>
        <v>1233314.3254212353</v>
      </c>
      <c r="D974" s="43">
        <f t="shared" si="67"/>
        <v>147997.71905054824</v>
      </c>
      <c r="E974" s="44">
        <f t="shared" si="65"/>
        <v>12333.143254212353</v>
      </c>
      <c r="F974" s="44">
        <f t="shared" si="66"/>
        <v>3083.2858135530882</v>
      </c>
    </row>
    <row r="975" spans="1:6" ht="13.8" thickBot="1" x14ac:dyDescent="0.3">
      <c r="A975" s="172" t="s">
        <v>162</v>
      </c>
      <c r="B975" s="45">
        <v>1</v>
      </c>
      <c r="C975" s="43">
        <f t="shared" si="64"/>
        <v>1236397.6112347883</v>
      </c>
      <c r="D975" s="43">
        <f t="shared" si="67"/>
        <v>148367.71334817458</v>
      </c>
      <c r="E975" s="44">
        <f t="shared" si="65"/>
        <v>12363.976112347882</v>
      </c>
      <c r="F975" s="44">
        <f t="shared" si="66"/>
        <v>3090.9940280869705</v>
      </c>
    </row>
    <row r="976" spans="1:6" ht="13.8" thickBot="1" x14ac:dyDescent="0.3">
      <c r="A976" s="169"/>
      <c r="B976" s="45">
        <v>2</v>
      </c>
      <c r="C976" s="43">
        <f t="shared" si="64"/>
        <v>1239488.6052628753</v>
      </c>
      <c r="D976" s="43">
        <f t="shared" si="67"/>
        <v>148738.63263154504</v>
      </c>
      <c r="E976" s="44">
        <f t="shared" si="65"/>
        <v>12394.886052628754</v>
      </c>
      <c r="F976" s="44">
        <f t="shared" si="66"/>
        <v>3098.7215131571884</v>
      </c>
    </row>
    <row r="977" spans="1:6" ht="13.8" thickBot="1" x14ac:dyDescent="0.3">
      <c r="A977" s="169"/>
      <c r="B977" s="45">
        <v>3</v>
      </c>
      <c r="C977" s="43">
        <f t="shared" si="64"/>
        <v>1242587.3267760326</v>
      </c>
      <c r="D977" s="43">
        <f t="shared" si="67"/>
        <v>149110.47921312391</v>
      </c>
      <c r="E977" s="44">
        <f t="shared" si="65"/>
        <v>12425.873267760326</v>
      </c>
      <c r="F977" s="44">
        <f t="shared" si="66"/>
        <v>3106.4683169400814</v>
      </c>
    </row>
    <row r="978" spans="1:6" ht="13.8" thickBot="1" x14ac:dyDescent="0.3">
      <c r="A978" s="173"/>
      <c r="B978" s="45">
        <v>4</v>
      </c>
      <c r="C978" s="43">
        <f t="shared" si="64"/>
        <v>1245693.7950929727</v>
      </c>
      <c r="D978" s="43">
        <f t="shared" si="67"/>
        <v>149483.25541115672</v>
      </c>
      <c r="E978" s="44">
        <f t="shared" si="65"/>
        <v>12456.937950929727</v>
      </c>
      <c r="F978" s="44">
        <f t="shared" si="66"/>
        <v>3114.2344877324317</v>
      </c>
    </row>
    <row r="979" spans="1:6" ht="13.8" thickBot="1" x14ac:dyDescent="0.3">
      <c r="A979" s="172" t="s">
        <v>163</v>
      </c>
      <c r="B979" s="45">
        <v>1</v>
      </c>
      <c r="C979" s="43">
        <f t="shared" si="64"/>
        <v>1248808.0295807051</v>
      </c>
      <c r="D979" s="43">
        <f t="shared" si="67"/>
        <v>149856.96354968462</v>
      </c>
      <c r="E979" s="44">
        <f t="shared" si="65"/>
        <v>12488.080295807051</v>
      </c>
      <c r="F979" s="44">
        <f t="shared" si="66"/>
        <v>3122.0200739517627</v>
      </c>
    </row>
    <row r="980" spans="1:6" ht="13.8" thickBot="1" x14ac:dyDescent="0.3">
      <c r="A980" s="169"/>
      <c r="B980" s="45">
        <v>2</v>
      </c>
      <c r="C980" s="43">
        <f t="shared" si="64"/>
        <v>1251930.0496546568</v>
      </c>
      <c r="D980" s="43">
        <f t="shared" si="67"/>
        <v>150231.60595855882</v>
      </c>
      <c r="E980" s="44">
        <f t="shared" si="65"/>
        <v>12519.300496546568</v>
      </c>
      <c r="F980" s="44">
        <f t="shared" si="66"/>
        <v>3129.825124136642</v>
      </c>
    </row>
    <row r="981" spans="1:6" ht="13.8" thickBot="1" x14ac:dyDescent="0.3">
      <c r="A981" s="169"/>
      <c r="B981" s="45">
        <v>3</v>
      </c>
      <c r="C981" s="43">
        <f t="shared" si="64"/>
        <v>1255059.8747787934</v>
      </c>
      <c r="D981" s="43">
        <f t="shared" si="67"/>
        <v>150607.18497345521</v>
      </c>
      <c r="E981" s="44">
        <f t="shared" si="65"/>
        <v>12550.598747787933</v>
      </c>
      <c r="F981" s="44">
        <f t="shared" si="66"/>
        <v>3137.6496869469834</v>
      </c>
    </row>
    <row r="982" spans="1:6" ht="13.8" thickBot="1" x14ac:dyDescent="0.3">
      <c r="A982" s="173"/>
      <c r="B982" s="45">
        <v>4</v>
      </c>
      <c r="C982" s="43">
        <f t="shared" si="64"/>
        <v>1258197.5244657404</v>
      </c>
      <c r="D982" s="43">
        <f t="shared" si="67"/>
        <v>150983.70293588884</v>
      </c>
      <c r="E982" s="44">
        <f t="shared" si="65"/>
        <v>12581.975244657404</v>
      </c>
      <c r="F982" s="44">
        <f t="shared" si="66"/>
        <v>3145.493811164351</v>
      </c>
    </row>
    <row r="983" spans="1:6" ht="13.8" thickBot="1" x14ac:dyDescent="0.3">
      <c r="A983" s="172" t="s">
        <v>164</v>
      </c>
      <c r="B983" s="45">
        <v>1</v>
      </c>
      <c r="C983" s="43">
        <f t="shared" si="64"/>
        <v>1261343.0182769047</v>
      </c>
      <c r="D983" s="43">
        <f t="shared" si="67"/>
        <v>151361.16219322855</v>
      </c>
      <c r="E983" s="44">
        <f t="shared" si="65"/>
        <v>12613.430182769045</v>
      </c>
      <c r="F983" s="44">
        <f t="shared" si="66"/>
        <v>3153.3575456922613</v>
      </c>
    </row>
    <row r="984" spans="1:6" ht="13.8" thickBot="1" x14ac:dyDescent="0.3">
      <c r="A984" s="169"/>
      <c r="B984" s="45">
        <v>2</v>
      </c>
      <c r="C984" s="43">
        <f t="shared" si="64"/>
        <v>1264496.375822597</v>
      </c>
      <c r="D984" s="43">
        <f t="shared" si="67"/>
        <v>151739.56509871164</v>
      </c>
      <c r="E984" s="44">
        <f t="shared" si="65"/>
        <v>12644.963758225969</v>
      </c>
      <c r="F984" s="44">
        <f t="shared" si="66"/>
        <v>3161.2409395564923</v>
      </c>
    </row>
    <row r="985" spans="1:6" ht="13.8" thickBot="1" x14ac:dyDescent="0.3">
      <c r="A985" s="169"/>
      <c r="B985" s="45">
        <v>3</v>
      </c>
      <c r="C985" s="43">
        <f t="shared" si="64"/>
        <v>1267657.6167621533</v>
      </c>
      <c r="D985" s="43">
        <f t="shared" si="67"/>
        <v>152118.9140114584</v>
      </c>
      <c r="E985" s="44">
        <f t="shared" si="65"/>
        <v>12676.576167621533</v>
      </c>
      <c r="F985" s="44">
        <f t="shared" si="66"/>
        <v>3169.1440419053833</v>
      </c>
    </row>
    <row r="986" spans="1:6" ht="13.8" thickBot="1" x14ac:dyDescent="0.3">
      <c r="A986" s="173"/>
      <c r="B986" s="45">
        <v>4</v>
      </c>
      <c r="C986" s="43">
        <f t="shared" si="64"/>
        <v>1270826.7608040588</v>
      </c>
      <c r="D986" s="43">
        <f t="shared" si="67"/>
        <v>152499.21129648705</v>
      </c>
      <c r="E986" s="44">
        <f t="shared" si="65"/>
        <v>12708.267608040587</v>
      </c>
      <c r="F986" s="44">
        <f t="shared" si="66"/>
        <v>3177.0669020101468</v>
      </c>
    </row>
    <row r="987" spans="1:6" ht="13.8" thickBot="1" x14ac:dyDescent="0.3">
      <c r="A987" s="172" t="s">
        <v>165</v>
      </c>
      <c r="B987" s="45">
        <v>1</v>
      </c>
      <c r="C987" s="43">
        <f t="shared" si="64"/>
        <v>1274003.827706069</v>
      </c>
      <c r="D987" s="43">
        <f t="shared" si="67"/>
        <v>152880.45932472826</v>
      </c>
      <c r="E987" s="44">
        <f t="shared" si="65"/>
        <v>12740.038277060688</v>
      </c>
      <c r="F987" s="44">
        <f t="shared" si="66"/>
        <v>3185.0095692651721</v>
      </c>
    </row>
    <row r="988" spans="1:6" ht="13.8" thickBot="1" x14ac:dyDescent="0.3">
      <c r="A988" s="169"/>
      <c r="B988" s="45">
        <v>2</v>
      </c>
      <c r="C988" s="43">
        <f t="shared" si="64"/>
        <v>1277188.8372753342</v>
      </c>
      <c r="D988" s="43">
        <f t="shared" si="67"/>
        <v>153262.6604730401</v>
      </c>
      <c r="E988" s="44">
        <f t="shared" si="65"/>
        <v>12771.888372753341</v>
      </c>
      <c r="F988" s="44">
        <f t="shared" si="66"/>
        <v>3192.9720931883353</v>
      </c>
    </row>
    <row r="989" spans="1:6" ht="13.8" thickBot="1" x14ac:dyDescent="0.3">
      <c r="A989" s="169"/>
      <c r="B989" s="45">
        <v>3</v>
      </c>
      <c r="C989" s="43">
        <f t="shared" si="64"/>
        <v>1280381.8093685226</v>
      </c>
      <c r="D989" s="43">
        <f t="shared" si="67"/>
        <v>153645.8171242227</v>
      </c>
      <c r="E989" s="44">
        <f t="shared" si="65"/>
        <v>12803.818093685224</v>
      </c>
      <c r="F989" s="44">
        <f t="shared" si="66"/>
        <v>3200.954523421306</v>
      </c>
    </row>
    <row r="990" spans="1:6" x14ac:dyDescent="0.25">
      <c r="A990" s="173"/>
      <c r="B990" s="45">
        <v>4</v>
      </c>
      <c r="C990" s="43">
        <f t="shared" si="64"/>
        <v>1283582.763891944</v>
      </c>
      <c r="D990" s="43">
        <f t="shared" si="67"/>
        <v>154029.93166703326</v>
      </c>
      <c r="E990" s="44">
        <f t="shared" si="65"/>
        <v>12835.827638919438</v>
      </c>
      <c r="F990" s="44">
        <f t="shared" si="66"/>
        <v>3208.9569097298595</v>
      </c>
    </row>
  </sheetData>
  <mergeCells count="246">
    <mergeCell ref="A967:A970"/>
    <mergeCell ref="A971:A974"/>
    <mergeCell ref="A975:A978"/>
    <mergeCell ref="A979:A982"/>
    <mergeCell ref="A983:A986"/>
    <mergeCell ref="A987:A990"/>
    <mergeCell ref="A495:A498"/>
    <mergeCell ref="A491:A494"/>
    <mergeCell ref="A487:A490"/>
    <mergeCell ref="A931:A934"/>
    <mergeCell ref="A935:A938"/>
    <mergeCell ref="A939:A942"/>
    <mergeCell ref="A943:A946"/>
    <mergeCell ref="A947:A950"/>
    <mergeCell ref="A951:A954"/>
    <mergeCell ref="A955:A958"/>
    <mergeCell ref="A959:A962"/>
    <mergeCell ref="A963:A966"/>
    <mergeCell ref="A895:A898"/>
    <mergeCell ref="A899:A902"/>
    <mergeCell ref="A903:A906"/>
    <mergeCell ref="A907:A910"/>
    <mergeCell ref="A911:A914"/>
    <mergeCell ref="A915:A918"/>
    <mergeCell ref="A919:A922"/>
    <mergeCell ref="A923:A926"/>
    <mergeCell ref="A927:A930"/>
    <mergeCell ref="A859:A862"/>
    <mergeCell ref="A863:A866"/>
    <mergeCell ref="A867:A870"/>
    <mergeCell ref="A871:A874"/>
    <mergeCell ref="A875:A878"/>
    <mergeCell ref="A879:A882"/>
    <mergeCell ref="A883:A886"/>
    <mergeCell ref="A887:A890"/>
    <mergeCell ref="A891:A894"/>
    <mergeCell ref="A823:A826"/>
    <mergeCell ref="A827:A830"/>
    <mergeCell ref="A831:A834"/>
    <mergeCell ref="A835:A838"/>
    <mergeCell ref="A839:A842"/>
    <mergeCell ref="A843:A846"/>
    <mergeCell ref="A847:A850"/>
    <mergeCell ref="A851:A854"/>
    <mergeCell ref="A855:A858"/>
    <mergeCell ref="A787:A790"/>
    <mergeCell ref="A791:A794"/>
    <mergeCell ref="A795:A798"/>
    <mergeCell ref="A799:A802"/>
    <mergeCell ref="A803:A806"/>
    <mergeCell ref="A807:A810"/>
    <mergeCell ref="A811:A814"/>
    <mergeCell ref="A815:A818"/>
    <mergeCell ref="A819:A822"/>
    <mergeCell ref="A751:A754"/>
    <mergeCell ref="A755:A758"/>
    <mergeCell ref="A759:A762"/>
    <mergeCell ref="A763:A766"/>
    <mergeCell ref="A767:A770"/>
    <mergeCell ref="A771:A774"/>
    <mergeCell ref="A775:A778"/>
    <mergeCell ref="A779:A782"/>
    <mergeCell ref="A783:A786"/>
    <mergeCell ref="A715:A718"/>
    <mergeCell ref="A719:A722"/>
    <mergeCell ref="A723:A726"/>
    <mergeCell ref="A727:A730"/>
    <mergeCell ref="A731:A734"/>
    <mergeCell ref="A735:A738"/>
    <mergeCell ref="A739:A742"/>
    <mergeCell ref="A743:A746"/>
    <mergeCell ref="A747:A750"/>
    <mergeCell ref="A679:A682"/>
    <mergeCell ref="A683:A686"/>
    <mergeCell ref="A687:A690"/>
    <mergeCell ref="A691:A694"/>
    <mergeCell ref="A695:A698"/>
    <mergeCell ref="A699:A702"/>
    <mergeCell ref="A703:A706"/>
    <mergeCell ref="A707:A710"/>
    <mergeCell ref="A711:A714"/>
    <mergeCell ref="A643:A646"/>
    <mergeCell ref="A647:A650"/>
    <mergeCell ref="A651:A654"/>
    <mergeCell ref="A655:A658"/>
    <mergeCell ref="A659:A662"/>
    <mergeCell ref="A663:A666"/>
    <mergeCell ref="A667:A670"/>
    <mergeCell ref="A671:A674"/>
    <mergeCell ref="A675:A678"/>
    <mergeCell ref="A607:A610"/>
    <mergeCell ref="A611:A614"/>
    <mergeCell ref="A615:A618"/>
    <mergeCell ref="A619:A622"/>
    <mergeCell ref="A623:A626"/>
    <mergeCell ref="A627:A630"/>
    <mergeCell ref="A631:A634"/>
    <mergeCell ref="A635:A638"/>
    <mergeCell ref="A639:A642"/>
    <mergeCell ref="A571:A574"/>
    <mergeCell ref="A575:A578"/>
    <mergeCell ref="A579:A582"/>
    <mergeCell ref="A583:A586"/>
    <mergeCell ref="A587:A590"/>
    <mergeCell ref="A591:A594"/>
    <mergeCell ref="A595:A598"/>
    <mergeCell ref="A599:A602"/>
    <mergeCell ref="A603:A606"/>
    <mergeCell ref="A535:A538"/>
    <mergeCell ref="A539:A542"/>
    <mergeCell ref="A543:A546"/>
    <mergeCell ref="A547:A550"/>
    <mergeCell ref="A551:A554"/>
    <mergeCell ref="A555:A558"/>
    <mergeCell ref="A559:A562"/>
    <mergeCell ref="A563:A566"/>
    <mergeCell ref="A567:A570"/>
    <mergeCell ref="A499:A502"/>
    <mergeCell ref="A503:A506"/>
    <mergeCell ref="A507:A510"/>
    <mergeCell ref="A511:A514"/>
    <mergeCell ref="A515:A518"/>
    <mergeCell ref="A519:A522"/>
    <mergeCell ref="A523:A526"/>
    <mergeCell ref="A527:A530"/>
    <mergeCell ref="A531:A534"/>
    <mergeCell ref="A475:A478"/>
    <mergeCell ref="A479:A482"/>
    <mergeCell ref="A483:A486"/>
    <mergeCell ref="A451:A454"/>
    <mergeCell ref="A455:A458"/>
    <mergeCell ref="A459:A462"/>
    <mergeCell ref="A463:A466"/>
    <mergeCell ref="A467:A470"/>
    <mergeCell ref="A471:A474"/>
    <mergeCell ref="A427:A430"/>
    <mergeCell ref="A431:A434"/>
    <mergeCell ref="A435:A438"/>
    <mergeCell ref="A439:A442"/>
    <mergeCell ref="A443:A446"/>
    <mergeCell ref="A447:A450"/>
    <mergeCell ref="A403:A406"/>
    <mergeCell ref="A407:A410"/>
    <mergeCell ref="A411:A414"/>
    <mergeCell ref="A415:A418"/>
    <mergeCell ref="A419:A422"/>
    <mergeCell ref="A423:A426"/>
    <mergeCell ref="A379:A382"/>
    <mergeCell ref="A383:A386"/>
    <mergeCell ref="A387:A390"/>
    <mergeCell ref="A391:A394"/>
    <mergeCell ref="A395:A398"/>
    <mergeCell ref="A399:A402"/>
    <mergeCell ref="A355:A358"/>
    <mergeCell ref="A359:A362"/>
    <mergeCell ref="A363:A366"/>
    <mergeCell ref="A367:A370"/>
    <mergeCell ref="A371:A374"/>
    <mergeCell ref="A375:A378"/>
    <mergeCell ref="A331:A334"/>
    <mergeCell ref="A335:A338"/>
    <mergeCell ref="A339:A342"/>
    <mergeCell ref="A343:A346"/>
    <mergeCell ref="A347:A350"/>
    <mergeCell ref="A351:A354"/>
    <mergeCell ref="A307:A310"/>
    <mergeCell ref="A311:A314"/>
    <mergeCell ref="A315:A318"/>
    <mergeCell ref="A319:A322"/>
    <mergeCell ref="A323:A326"/>
    <mergeCell ref="A327:A330"/>
    <mergeCell ref="A283:A286"/>
    <mergeCell ref="A287:A290"/>
    <mergeCell ref="A291:A294"/>
    <mergeCell ref="A295:A298"/>
    <mergeCell ref="A299:A302"/>
    <mergeCell ref="A303:A306"/>
    <mergeCell ref="A259:A262"/>
    <mergeCell ref="A263:A266"/>
    <mergeCell ref="A267:A270"/>
    <mergeCell ref="A271:A274"/>
    <mergeCell ref="A275:A278"/>
    <mergeCell ref="A279:A282"/>
    <mergeCell ref="A235:A238"/>
    <mergeCell ref="A239:A242"/>
    <mergeCell ref="A243:A246"/>
    <mergeCell ref="A247:A250"/>
    <mergeCell ref="A251:A254"/>
    <mergeCell ref="A255:A258"/>
    <mergeCell ref="A211:A214"/>
    <mergeCell ref="A215:A218"/>
    <mergeCell ref="A219:A222"/>
    <mergeCell ref="A223:A226"/>
    <mergeCell ref="A227:A230"/>
    <mergeCell ref="A231:A234"/>
    <mergeCell ref="A187:A190"/>
    <mergeCell ref="A191:A194"/>
    <mergeCell ref="A195:A198"/>
    <mergeCell ref="A199:A202"/>
    <mergeCell ref="A203:A206"/>
    <mergeCell ref="A207:A210"/>
    <mergeCell ref="A163:A166"/>
    <mergeCell ref="A167:A170"/>
    <mergeCell ref="A171:A174"/>
    <mergeCell ref="A175:A178"/>
    <mergeCell ref="A179:A182"/>
    <mergeCell ref="A183:A186"/>
    <mergeCell ref="A139:A142"/>
    <mergeCell ref="A143:A146"/>
    <mergeCell ref="A147:A150"/>
    <mergeCell ref="A151:A154"/>
    <mergeCell ref="A155:A158"/>
    <mergeCell ref="A159:A162"/>
    <mergeCell ref="A115:A118"/>
    <mergeCell ref="A119:A122"/>
    <mergeCell ref="A123:A126"/>
    <mergeCell ref="A127:A130"/>
    <mergeCell ref="A131:A134"/>
    <mergeCell ref="A135:A138"/>
    <mergeCell ref="A91:A94"/>
    <mergeCell ref="A95:A98"/>
    <mergeCell ref="A99:A102"/>
    <mergeCell ref="A103:A106"/>
    <mergeCell ref="A107:A110"/>
    <mergeCell ref="A111:A114"/>
    <mergeCell ref="A67:A70"/>
    <mergeCell ref="A71:A74"/>
    <mergeCell ref="A75:A78"/>
    <mergeCell ref="A79:A82"/>
    <mergeCell ref="A83:A86"/>
    <mergeCell ref="A87:A90"/>
    <mergeCell ref="A7:A10"/>
    <mergeCell ref="A11:A14"/>
    <mergeCell ref="A15:A18"/>
    <mergeCell ref="A43:A46"/>
    <mergeCell ref="A47:A50"/>
    <mergeCell ref="A51:A54"/>
    <mergeCell ref="A55:A58"/>
    <mergeCell ref="A59:A62"/>
    <mergeCell ref="A63:A66"/>
    <mergeCell ref="A19:A22"/>
    <mergeCell ref="A23:A26"/>
    <mergeCell ref="A27:A30"/>
    <mergeCell ref="A31:A34"/>
    <mergeCell ref="A35:A38"/>
    <mergeCell ref="A39:A42"/>
  </mergeCells>
  <pageMargins left="0.7" right="0.7" top="0.75" bottom="0.75" header="0.3" footer="0.3"/>
  <pageSetup paperSize="9" orientation="portrait" horizontalDpi="200" verticalDpi="200" r:id="rId1"/>
  <headerFooter>
    <oddHeader>&amp;L&amp;"Calibri"&amp;10&amp;K000000General Information&amp;1#</oddHead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3E7E-76E5-481B-B660-7F339D346A18}">
  <dimension ref="A1:F42"/>
  <sheetViews>
    <sheetView workbookViewId="0">
      <selection activeCell="C22" sqref="C22"/>
    </sheetView>
  </sheetViews>
  <sheetFormatPr baseColWidth="10" defaultColWidth="51.44140625" defaultRowHeight="13.2" x14ac:dyDescent="0.25"/>
  <cols>
    <col min="2" max="2" width="4.88671875" bestFit="1" customWidth="1"/>
    <col min="3" max="3" width="11.109375" bestFit="1" customWidth="1"/>
    <col min="4" max="4" width="7.5546875" customWidth="1"/>
    <col min="5" max="5" width="8.88671875" bestFit="1" customWidth="1"/>
  </cols>
  <sheetData>
    <row r="1" spans="1:5" x14ac:dyDescent="0.25">
      <c r="A1" s="51">
        <v>0.1</v>
      </c>
      <c r="B1" s="46" t="s">
        <v>180</v>
      </c>
      <c r="C1" s="46" t="s">
        <v>182</v>
      </c>
      <c r="D1" s="46" t="s">
        <v>183</v>
      </c>
      <c r="E1" s="46" t="s">
        <v>184</v>
      </c>
    </row>
    <row r="2" spans="1:5" ht="15" x14ac:dyDescent="0.25">
      <c r="A2" s="60" t="s">
        <v>168</v>
      </c>
      <c r="B2" s="46" t="s">
        <v>185</v>
      </c>
      <c r="C2" s="43">
        <v>62</v>
      </c>
      <c r="D2" s="43">
        <v>5.94</v>
      </c>
      <c r="E2" s="54">
        <f t="shared" ref="E2:E12" si="0">D2/C2</f>
        <v>9.5806451612903229E-2</v>
      </c>
    </row>
    <row r="3" spans="1:5" ht="15" x14ac:dyDescent="0.25">
      <c r="A3" s="55" t="s">
        <v>169</v>
      </c>
      <c r="B3" s="46" t="s">
        <v>185</v>
      </c>
      <c r="C3" s="43">
        <v>57</v>
      </c>
      <c r="D3" s="43">
        <v>5.75</v>
      </c>
      <c r="E3" s="54">
        <f t="shared" si="0"/>
        <v>0.10087719298245613</v>
      </c>
    </row>
    <row r="4" spans="1:5" ht="15" x14ac:dyDescent="0.25">
      <c r="A4" s="55" t="s">
        <v>170</v>
      </c>
      <c r="B4" s="46" t="s">
        <v>185</v>
      </c>
      <c r="C4" s="43">
        <v>64</v>
      </c>
      <c r="D4" s="43">
        <v>6.48</v>
      </c>
      <c r="E4" s="54">
        <f t="shared" si="0"/>
        <v>0.10125000000000001</v>
      </c>
    </row>
    <row r="5" spans="1:5" ht="15" x14ac:dyDescent="0.25">
      <c r="A5" s="55" t="s">
        <v>171</v>
      </c>
      <c r="B5" s="46" t="s">
        <v>185</v>
      </c>
      <c r="C5" s="43">
        <v>64</v>
      </c>
      <c r="D5" s="43">
        <v>6.49</v>
      </c>
      <c r="E5" s="54">
        <f t="shared" si="0"/>
        <v>0.10140625</v>
      </c>
    </row>
    <row r="6" spans="1:5" ht="15" x14ac:dyDescent="0.25">
      <c r="A6" s="55" t="s">
        <v>172</v>
      </c>
      <c r="B6" s="46" t="s">
        <v>185</v>
      </c>
      <c r="C6" s="43">
        <v>60</v>
      </c>
      <c r="D6" s="43">
        <v>6.12</v>
      </c>
      <c r="E6" s="54">
        <f t="shared" si="0"/>
        <v>0.10200000000000001</v>
      </c>
    </row>
    <row r="7" spans="1:5" ht="15" x14ac:dyDescent="0.25">
      <c r="A7" s="55" t="s">
        <v>173</v>
      </c>
      <c r="B7" s="46" t="s">
        <v>185</v>
      </c>
      <c r="C7" s="43">
        <v>58</v>
      </c>
      <c r="D7" s="43">
        <v>5.85</v>
      </c>
      <c r="E7" s="54">
        <f t="shared" si="0"/>
        <v>0.10086206896551723</v>
      </c>
    </row>
    <row r="8" spans="1:5" ht="15" x14ac:dyDescent="0.25">
      <c r="A8" s="60" t="s">
        <v>174</v>
      </c>
      <c r="B8" s="46" t="s">
        <v>185</v>
      </c>
      <c r="C8" s="43">
        <v>65.900000000000006</v>
      </c>
      <c r="D8" s="43">
        <v>6.23</v>
      </c>
      <c r="E8" s="54">
        <f t="shared" si="0"/>
        <v>9.4537177541729897E-2</v>
      </c>
    </row>
    <row r="9" spans="1:5" ht="15" x14ac:dyDescent="0.25">
      <c r="A9" s="55" t="s">
        <v>175</v>
      </c>
      <c r="B9" s="46" t="s">
        <v>185</v>
      </c>
      <c r="C9" s="43">
        <v>56.15</v>
      </c>
      <c r="D9" s="43">
        <v>5.58</v>
      </c>
      <c r="E9" s="54">
        <f t="shared" si="0"/>
        <v>9.9376669634906503E-2</v>
      </c>
    </row>
    <row r="10" spans="1:5" ht="15" x14ac:dyDescent="0.25">
      <c r="A10" s="55" t="s">
        <v>176</v>
      </c>
      <c r="B10" s="46" t="s">
        <v>185</v>
      </c>
      <c r="C10" s="43">
        <v>57.6</v>
      </c>
      <c r="D10" s="43">
        <v>5.68</v>
      </c>
      <c r="E10" s="54">
        <f t="shared" si="0"/>
        <v>9.8611111111111108E-2</v>
      </c>
    </row>
    <row r="11" spans="1:5" ht="15" x14ac:dyDescent="0.25">
      <c r="A11" s="55" t="s">
        <v>177</v>
      </c>
      <c r="B11" s="46" t="s">
        <v>185</v>
      </c>
      <c r="C11" s="43">
        <v>59.5</v>
      </c>
      <c r="D11" s="43">
        <v>5.86</v>
      </c>
      <c r="E11" s="54">
        <f t="shared" si="0"/>
        <v>9.8487394957983199E-2</v>
      </c>
    </row>
    <row r="12" spans="1:5" ht="15" x14ac:dyDescent="0.25">
      <c r="A12" s="55" t="s">
        <v>178</v>
      </c>
      <c r="B12" s="46" t="s">
        <v>185</v>
      </c>
      <c r="C12" s="43">
        <v>59.8</v>
      </c>
      <c r="D12" s="43">
        <v>5.98</v>
      </c>
      <c r="E12" s="54">
        <f t="shared" si="0"/>
        <v>0.1</v>
      </c>
    </row>
    <row r="13" spans="1:5" ht="15" x14ac:dyDescent="0.25">
      <c r="A13" s="52" t="s">
        <v>179</v>
      </c>
      <c r="B13" s="46" t="s">
        <v>181</v>
      </c>
      <c r="C13" s="43">
        <v>62</v>
      </c>
      <c r="D13" s="43">
        <v>6.84</v>
      </c>
      <c r="E13" s="54">
        <f t="shared" ref="E13:E18" si="1">D13/C13</f>
        <v>0.11032258064516129</v>
      </c>
    </row>
    <row r="14" spans="1:5" ht="15" x14ac:dyDescent="0.25">
      <c r="A14" s="55" t="s">
        <v>186</v>
      </c>
      <c r="B14" s="46" t="s">
        <v>185</v>
      </c>
      <c r="C14" s="43">
        <v>58.3</v>
      </c>
      <c r="D14" s="43">
        <v>5.81</v>
      </c>
      <c r="E14" s="54">
        <f t="shared" si="1"/>
        <v>9.9656946826758144E-2</v>
      </c>
    </row>
    <row r="15" spans="1:5" ht="15" x14ac:dyDescent="0.25">
      <c r="A15" s="55" t="s">
        <v>176</v>
      </c>
      <c r="B15" s="46" t="s">
        <v>185</v>
      </c>
      <c r="C15" s="43">
        <v>57.6</v>
      </c>
      <c r="D15" s="43">
        <v>5.68</v>
      </c>
      <c r="E15" s="54">
        <f t="shared" si="1"/>
        <v>9.8611111111111108E-2</v>
      </c>
    </row>
    <row r="16" spans="1:5" ht="15" x14ac:dyDescent="0.25">
      <c r="A16" s="55" t="s">
        <v>187</v>
      </c>
      <c r="B16" s="46" t="s">
        <v>185</v>
      </c>
      <c r="C16" s="43">
        <v>52.48</v>
      </c>
      <c r="D16" s="43">
        <v>5.27</v>
      </c>
      <c r="E16" s="54">
        <f t="shared" si="1"/>
        <v>0.10041920731707317</v>
      </c>
    </row>
    <row r="17" spans="1:5" ht="15" x14ac:dyDescent="0.25">
      <c r="A17" s="60" t="s">
        <v>188</v>
      </c>
      <c r="B17" s="46" t="s">
        <v>185</v>
      </c>
      <c r="C17" s="43">
        <v>68</v>
      </c>
      <c r="D17" s="43">
        <v>6.98</v>
      </c>
      <c r="E17" s="54">
        <f t="shared" si="1"/>
        <v>0.10264705882352942</v>
      </c>
    </row>
    <row r="18" spans="1:5" ht="15" x14ac:dyDescent="0.25">
      <c r="A18" s="52" t="s">
        <v>189</v>
      </c>
      <c r="B18" s="46" t="s">
        <v>181</v>
      </c>
      <c r="C18" s="43">
        <v>54.58</v>
      </c>
      <c r="D18" s="43">
        <v>4.83</v>
      </c>
      <c r="E18" s="54">
        <f t="shared" si="1"/>
        <v>8.8493953829241481E-2</v>
      </c>
    </row>
    <row r="19" spans="1:5" ht="15" x14ac:dyDescent="0.25">
      <c r="A19" s="55" t="s">
        <v>190</v>
      </c>
      <c r="B19" s="46" t="s">
        <v>185</v>
      </c>
    </row>
    <row r="21" spans="1:5" ht="15" x14ac:dyDescent="0.25">
      <c r="A21" s="60" t="s">
        <v>191</v>
      </c>
      <c r="B21" s="46" t="s">
        <v>185</v>
      </c>
      <c r="C21" s="43">
        <v>61.4</v>
      </c>
      <c r="D21" s="43">
        <v>6.18</v>
      </c>
      <c r="E21" s="54">
        <f>D21/C21</f>
        <v>0.1006514657980456</v>
      </c>
    </row>
    <row r="22" spans="1:5" ht="15" x14ac:dyDescent="0.25">
      <c r="A22" s="60" t="s">
        <v>192</v>
      </c>
      <c r="B22" s="46" t="s">
        <v>185</v>
      </c>
      <c r="C22" s="43">
        <v>57.2</v>
      </c>
      <c r="D22" s="43">
        <v>5.61</v>
      </c>
      <c r="E22" s="54">
        <f>D22/C22</f>
        <v>9.8076923076923075E-2</v>
      </c>
    </row>
    <row r="23" spans="1:5" ht="15" x14ac:dyDescent="0.25">
      <c r="A23" s="53" t="s">
        <v>193</v>
      </c>
      <c r="B23" s="46" t="s">
        <v>181</v>
      </c>
      <c r="C23" s="43">
        <v>62.65</v>
      </c>
      <c r="D23" s="43">
        <v>6.56</v>
      </c>
      <c r="E23" s="54">
        <f>D23/C23</f>
        <v>0.10470869912210694</v>
      </c>
    </row>
    <row r="24" spans="1:5" ht="15" x14ac:dyDescent="0.25">
      <c r="A24" s="55" t="s">
        <v>194</v>
      </c>
      <c r="B24" s="46" t="s">
        <v>185</v>
      </c>
      <c r="C24" s="43">
        <v>64.5</v>
      </c>
      <c r="D24" s="43">
        <v>5.55</v>
      </c>
      <c r="E24" s="54">
        <f t="shared" ref="E24:E34" si="2">D24/C24</f>
        <v>8.6046511627906969E-2</v>
      </c>
    </row>
    <row r="25" spans="1:5" ht="15" x14ac:dyDescent="0.25">
      <c r="A25" s="60" t="s">
        <v>195</v>
      </c>
      <c r="B25" s="46" t="s">
        <v>185</v>
      </c>
      <c r="C25" s="43">
        <v>55</v>
      </c>
      <c r="D25" s="43">
        <v>5.08</v>
      </c>
      <c r="E25" s="54">
        <f t="shared" si="2"/>
        <v>9.236363636363637E-2</v>
      </c>
    </row>
    <row r="26" spans="1:5" ht="15" x14ac:dyDescent="0.25">
      <c r="A26" s="60" t="s">
        <v>174</v>
      </c>
      <c r="B26" s="46" t="s">
        <v>185</v>
      </c>
      <c r="C26" s="43">
        <v>65.900000000000006</v>
      </c>
      <c r="D26" s="43">
        <v>6.23</v>
      </c>
      <c r="E26" s="54">
        <f t="shared" si="2"/>
        <v>9.4537177541729897E-2</v>
      </c>
    </row>
    <row r="27" spans="1:5" ht="15" x14ac:dyDescent="0.25">
      <c r="A27" s="55" t="s">
        <v>196</v>
      </c>
      <c r="B27" s="46" t="s">
        <v>185</v>
      </c>
      <c r="C27" s="43">
        <v>65</v>
      </c>
      <c r="D27" s="43">
        <v>6</v>
      </c>
      <c r="E27" s="54">
        <f t="shared" si="2"/>
        <v>9.2307692307692313E-2</v>
      </c>
    </row>
    <row r="28" spans="1:5" ht="15" x14ac:dyDescent="0.25">
      <c r="A28" s="60" t="s">
        <v>166</v>
      </c>
      <c r="B28" s="46" t="s">
        <v>185</v>
      </c>
      <c r="C28" s="43">
        <v>55.5</v>
      </c>
      <c r="D28" s="43">
        <v>5.51</v>
      </c>
      <c r="E28" s="54">
        <f t="shared" si="2"/>
        <v>9.9279279279279278E-2</v>
      </c>
    </row>
    <row r="29" spans="1:5" ht="15" x14ac:dyDescent="0.25">
      <c r="A29" s="55" t="s">
        <v>167</v>
      </c>
      <c r="B29" s="46" t="s">
        <v>185</v>
      </c>
      <c r="C29" s="43">
        <v>62.15</v>
      </c>
      <c r="D29" s="43">
        <v>6.02</v>
      </c>
      <c r="E29" s="54">
        <f t="shared" si="2"/>
        <v>9.686242960579243E-2</v>
      </c>
    </row>
    <row r="30" spans="1:5" ht="15" x14ac:dyDescent="0.25">
      <c r="A30" s="55" t="s">
        <v>197</v>
      </c>
      <c r="B30" s="46" t="s">
        <v>185</v>
      </c>
      <c r="C30" s="43">
        <v>119</v>
      </c>
      <c r="D30" s="43">
        <v>6.98</v>
      </c>
      <c r="E30" s="54">
        <f t="shared" si="2"/>
        <v>5.8655462184873955E-2</v>
      </c>
    </row>
    <row r="31" spans="1:5" ht="15" x14ac:dyDescent="0.25">
      <c r="A31" s="56" t="s">
        <v>198</v>
      </c>
      <c r="B31" s="46" t="s">
        <v>185</v>
      </c>
      <c r="C31" s="43">
        <v>59</v>
      </c>
      <c r="D31" s="43">
        <v>6.21</v>
      </c>
      <c r="E31" s="54">
        <f t="shared" si="2"/>
        <v>0.1052542372881356</v>
      </c>
    </row>
    <row r="32" spans="1:5" ht="15" x14ac:dyDescent="0.25">
      <c r="A32" s="56" t="s">
        <v>199</v>
      </c>
      <c r="B32" s="46" t="s">
        <v>185</v>
      </c>
      <c r="C32" s="43">
        <v>60</v>
      </c>
      <c r="D32" s="43">
        <v>6.39</v>
      </c>
      <c r="E32" s="54">
        <f t="shared" si="2"/>
        <v>0.1065</v>
      </c>
    </row>
    <row r="33" spans="1:6" ht="15" x14ac:dyDescent="0.25">
      <c r="A33" s="55" t="s">
        <v>200</v>
      </c>
      <c r="B33" s="46" t="s">
        <v>185</v>
      </c>
      <c r="C33" s="43">
        <v>67.400000000000006</v>
      </c>
      <c r="D33" s="43">
        <v>5.83</v>
      </c>
      <c r="E33" s="54">
        <f t="shared" si="2"/>
        <v>8.6498516320474769E-2</v>
      </c>
    </row>
    <row r="34" spans="1:6" ht="15" x14ac:dyDescent="0.25">
      <c r="A34" s="55" t="s">
        <v>201</v>
      </c>
      <c r="B34" s="46" t="s">
        <v>185</v>
      </c>
      <c r="C34" s="43">
        <v>58.65</v>
      </c>
      <c r="D34" s="43">
        <v>5.8</v>
      </c>
      <c r="E34" s="54">
        <f t="shared" si="2"/>
        <v>9.8891730605285597E-2</v>
      </c>
    </row>
    <row r="35" spans="1:6" ht="15" x14ac:dyDescent="0.25">
      <c r="A35" s="53"/>
    </row>
    <row r="36" spans="1:6" ht="15" x14ac:dyDescent="0.25">
      <c r="A36" s="60" t="s">
        <v>202</v>
      </c>
      <c r="B36" t="s">
        <v>185</v>
      </c>
      <c r="C36" s="43">
        <v>217</v>
      </c>
      <c r="D36" s="43">
        <v>21.82</v>
      </c>
      <c r="E36" s="54">
        <f t="shared" ref="E36:E42" si="3">D36/C36</f>
        <v>0.10055299539170508</v>
      </c>
    </row>
    <row r="37" spans="1:6" ht="15" x14ac:dyDescent="0.25">
      <c r="A37" s="55" t="s">
        <v>203</v>
      </c>
      <c r="B37" s="46" t="s">
        <v>185</v>
      </c>
      <c r="C37" s="43">
        <v>61</v>
      </c>
      <c r="D37" s="43">
        <v>5.79</v>
      </c>
      <c r="E37" s="54">
        <f t="shared" si="3"/>
        <v>9.4918032786885251E-2</v>
      </c>
    </row>
    <row r="38" spans="1:6" ht="15" x14ac:dyDescent="0.25">
      <c r="A38" s="55" t="s">
        <v>204</v>
      </c>
      <c r="B38" s="46" t="s">
        <v>185</v>
      </c>
      <c r="C38" s="43">
        <v>72.599999999999994</v>
      </c>
      <c r="D38" s="43">
        <v>6.54</v>
      </c>
      <c r="E38" s="54">
        <f t="shared" si="3"/>
        <v>9.0082644628099187E-2</v>
      </c>
    </row>
    <row r="39" spans="1:6" ht="15" x14ac:dyDescent="0.25">
      <c r="A39" s="60" t="s">
        <v>205</v>
      </c>
      <c r="B39" s="46" t="s">
        <v>185</v>
      </c>
      <c r="C39" s="43">
        <v>61.2</v>
      </c>
      <c r="D39" s="43">
        <v>5.82</v>
      </c>
      <c r="E39" s="54">
        <f t="shared" si="3"/>
        <v>9.509803921568627E-2</v>
      </c>
    </row>
    <row r="40" spans="1:6" ht="15" x14ac:dyDescent="0.25">
      <c r="A40" s="55" t="s">
        <v>210</v>
      </c>
      <c r="B40" s="46" t="s">
        <v>185</v>
      </c>
      <c r="C40" s="43">
        <v>65</v>
      </c>
      <c r="D40" s="43">
        <v>5.65</v>
      </c>
      <c r="E40" s="54">
        <f t="shared" si="3"/>
        <v>8.6923076923076922E-2</v>
      </c>
    </row>
    <row r="41" spans="1:6" ht="15" x14ac:dyDescent="0.25">
      <c r="A41" s="60" t="s">
        <v>191</v>
      </c>
      <c r="F41" t="s">
        <v>211</v>
      </c>
    </row>
    <row r="42" spans="1:6" ht="15" x14ac:dyDescent="0.25">
      <c r="A42" s="53" t="s">
        <v>218</v>
      </c>
      <c r="B42" s="46" t="s">
        <v>185</v>
      </c>
      <c r="C42" s="43">
        <v>51</v>
      </c>
      <c r="D42" s="43">
        <v>5.0999999999999996</v>
      </c>
      <c r="E42" s="54">
        <f t="shared" si="3"/>
        <v>9.9999999999999992E-2</v>
      </c>
    </row>
  </sheetData>
  <autoFilter ref="A1:E19" xr:uid="{C219641E-3252-4743-8BA4-A5E5254B90FB}"/>
  <conditionalFormatting sqref="E2:E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E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:E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200" verticalDpi="200" r:id="rId1"/>
  <headerFooter>
    <oddHeader>&amp;L&amp;"Calibri"&amp;10&amp;K000000General Information&amp;1#</oddHeader>
  </headerFooter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3179-3144-4633-867B-C8A2544CECD1}">
  <dimension ref="A1:I83"/>
  <sheetViews>
    <sheetView workbookViewId="0">
      <selection activeCell="K76" sqref="K76"/>
    </sheetView>
  </sheetViews>
  <sheetFormatPr baseColWidth="10" defaultColWidth="19.109375" defaultRowHeight="13.2" x14ac:dyDescent="0.25"/>
  <cols>
    <col min="2" max="2" width="12.44140625" customWidth="1"/>
    <col min="3" max="3" width="11.88671875" bestFit="1" customWidth="1"/>
    <col min="4" max="4" width="7.88671875" style="87" customWidth="1"/>
    <col min="5" max="5" width="21.109375" customWidth="1"/>
    <col min="6" max="6" width="14.5546875" customWidth="1"/>
  </cols>
  <sheetData>
    <row r="1" spans="1:9" ht="40.200000000000003" thickBot="1" x14ac:dyDescent="0.3">
      <c r="A1" s="83" t="s">
        <v>219</v>
      </c>
      <c r="B1" s="84" t="s">
        <v>220</v>
      </c>
      <c r="C1" s="85" t="s">
        <v>221</v>
      </c>
      <c r="D1" s="86"/>
      <c r="E1" s="83" t="s">
        <v>219</v>
      </c>
      <c r="F1" s="84" t="s">
        <v>220</v>
      </c>
      <c r="G1" s="85" t="s">
        <v>221</v>
      </c>
    </row>
    <row r="2" spans="1:9" ht="15.6" thickBot="1" x14ac:dyDescent="0.3">
      <c r="A2" s="77" t="s">
        <v>222</v>
      </c>
      <c r="B2" s="76">
        <v>1.4</v>
      </c>
      <c r="C2" s="78">
        <v>0.131768</v>
      </c>
      <c r="E2" s="77" t="s">
        <v>222</v>
      </c>
      <c r="F2" s="76">
        <v>1.4</v>
      </c>
      <c r="G2" s="78">
        <v>0.131768</v>
      </c>
      <c r="H2">
        <f>_xlfn.IFNA(VLOOKUP(E2,$A$2:$C$200,3,FALSE),0)</f>
        <v>0.131768</v>
      </c>
      <c r="I2">
        <f>H2-G2</f>
        <v>0</v>
      </c>
    </row>
    <row r="3" spans="1:9" ht="15.6" thickBot="1" x14ac:dyDescent="0.3">
      <c r="A3" s="77" t="s">
        <v>223</v>
      </c>
      <c r="B3" s="76">
        <v>15.1</v>
      </c>
      <c r="C3" s="78">
        <v>1.5510390000000001</v>
      </c>
      <c r="E3" s="77" t="s">
        <v>223</v>
      </c>
      <c r="F3" s="76">
        <v>15.1</v>
      </c>
      <c r="G3" s="78">
        <v>2.0201730000000002</v>
      </c>
      <c r="H3">
        <f t="shared" ref="H3:H66" si="0">_xlfn.IFNA(VLOOKUP(E3,$A$2:$C$200,3,FALSE),0)</f>
        <v>1.5510390000000001</v>
      </c>
      <c r="I3">
        <f t="shared" ref="I3:I66" si="1">H3-G3</f>
        <v>-0.46913400000000016</v>
      </c>
    </row>
    <row r="4" spans="1:9" ht="15.6" thickBot="1" x14ac:dyDescent="0.3">
      <c r="A4" s="77" t="s">
        <v>224</v>
      </c>
      <c r="B4" s="76">
        <v>8</v>
      </c>
      <c r="C4" s="78">
        <v>0.87829699999999999</v>
      </c>
      <c r="E4" s="77" t="s">
        <v>224</v>
      </c>
      <c r="F4" s="76">
        <v>8</v>
      </c>
      <c r="G4" s="78">
        <v>0.87829699999999999</v>
      </c>
      <c r="H4">
        <f t="shared" si="0"/>
        <v>0.87829699999999999</v>
      </c>
      <c r="I4">
        <f t="shared" si="1"/>
        <v>0</v>
      </c>
    </row>
    <row r="5" spans="1:9" ht="15.6" thickBot="1" x14ac:dyDescent="0.3">
      <c r="A5" s="77" t="s">
        <v>225</v>
      </c>
      <c r="B5" s="76">
        <v>7</v>
      </c>
      <c r="C5" s="78">
        <v>0.83016400000000001</v>
      </c>
      <c r="E5" s="77" t="s">
        <v>225</v>
      </c>
      <c r="F5" s="76">
        <v>7</v>
      </c>
      <c r="G5" s="78">
        <v>0.83016400000000001</v>
      </c>
      <c r="H5">
        <f t="shared" si="0"/>
        <v>0.83016400000000001</v>
      </c>
      <c r="I5">
        <f t="shared" si="1"/>
        <v>0</v>
      </c>
    </row>
    <row r="6" spans="1:9" ht="15.6" thickBot="1" x14ac:dyDescent="0.3">
      <c r="A6" s="77" t="s">
        <v>226</v>
      </c>
      <c r="B6" s="76">
        <v>1.1399999999999999</v>
      </c>
      <c r="C6" s="78">
        <v>0.141822</v>
      </c>
      <c r="E6" s="77" t="s">
        <v>295</v>
      </c>
      <c r="F6" s="76">
        <v>3</v>
      </c>
      <c r="G6" s="78">
        <v>0.39129000000000003</v>
      </c>
      <c r="H6">
        <f t="shared" si="0"/>
        <v>0</v>
      </c>
      <c r="I6">
        <f t="shared" si="1"/>
        <v>-0.39129000000000003</v>
      </c>
    </row>
    <row r="7" spans="1:9" ht="15.6" thickBot="1" x14ac:dyDescent="0.3">
      <c r="A7" s="77" t="s">
        <v>227</v>
      </c>
      <c r="B7" s="76">
        <v>15</v>
      </c>
      <c r="C7" s="78">
        <v>1.6769019999999999</v>
      </c>
      <c r="E7" s="77" t="s">
        <v>226</v>
      </c>
      <c r="F7" s="76">
        <v>0.98</v>
      </c>
      <c r="G7" s="78">
        <v>0.121562</v>
      </c>
      <c r="H7">
        <f t="shared" si="0"/>
        <v>0.141822</v>
      </c>
      <c r="I7">
        <f t="shared" si="1"/>
        <v>2.026E-2</v>
      </c>
    </row>
    <row r="8" spans="1:9" ht="15.6" thickBot="1" x14ac:dyDescent="0.3">
      <c r="A8" s="77" t="s">
        <v>228</v>
      </c>
      <c r="B8" s="76">
        <v>1.5</v>
      </c>
      <c r="C8" s="78">
        <v>0.12673999999999999</v>
      </c>
      <c r="E8" s="77" t="s">
        <v>227</v>
      </c>
      <c r="F8" s="76">
        <v>15</v>
      </c>
      <c r="G8" s="78">
        <v>1.6769019999999999</v>
      </c>
      <c r="H8">
        <f t="shared" si="0"/>
        <v>1.6769019999999999</v>
      </c>
      <c r="I8">
        <f t="shared" si="1"/>
        <v>0</v>
      </c>
    </row>
    <row r="9" spans="1:9" ht="15.6" thickBot="1" x14ac:dyDescent="0.3">
      <c r="A9" s="77" t="s">
        <v>229</v>
      </c>
      <c r="B9" s="76">
        <v>3.23</v>
      </c>
      <c r="C9" s="78">
        <v>1.0643359999999999</v>
      </c>
      <c r="E9" s="77" t="s">
        <v>296</v>
      </c>
      <c r="F9" s="76">
        <v>1</v>
      </c>
      <c r="G9" s="78">
        <v>0.18492800000000001</v>
      </c>
      <c r="H9">
        <f t="shared" si="0"/>
        <v>0</v>
      </c>
      <c r="I9">
        <f t="shared" si="1"/>
        <v>-0.18492800000000001</v>
      </c>
    </row>
    <row r="10" spans="1:9" ht="15.6" thickBot="1" x14ac:dyDescent="0.3">
      <c r="A10" s="77" t="s">
        <v>230</v>
      </c>
      <c r="B10" s="76">
        <v>2.9</v>
      </c>
      <c r="C10" s="78">
        <v>0.33870400000000001</v>
      </c>
      <c r="E10" s="77" t="s">
        <v>228</v>
      </c>
      <c r="F10" s="76">
        <v>1.5</v>
      </c>
      <c r="G10" s="78">
        <v>0.18681800000000001</v>
      </c>
      <c r="H10">
        <f t="shared" si="0"/>
        <v>0.12673999999999999</v>
      </c>
      <c r="I10">
        <f t="shared" si="1"/>
        <v>-6.007800000000002E-2</v>
      </c>
    </row>
    <row r="11" spans="1:9" ht="15.6" thickBot="1" x14ac:dyDescent="0.3">
      <c r="A11" s="77" t="s">
        <v>231</v>
      </c>
      <c r="B11" s="76">
        <v>1</v>
      </c>
      <c r="C11" s="78">
        <v>8.4640999999999994E-2</v>
      </c>
      <c r="E11" s="77" t="s">
        <v>229</v>
      </c>
      <c r="F11" s="76">
        <v>3.23</v>
      </c>
      <c r="G11" s="78">
        <v>1.3517749999999999</v>
      </c>
      <c r="H11">
        <f t="shared" si="0"/>
        <v>1.0643359999999999</v>
      </c>
      <c r="I11">
        <f t="shared" si="1"/>
        <v>-0.287439</v>
      </c>
    </row>
    <row r="12" spans="1:9" ht="15.6" thickBot="1" x14ac:dyDescent="0.3">
      <c r="A12" s="77" t="s">
        <v>232</v>
      </c>
      <c r="B12" s="76">
        <v>1</v>
      </c>
      <c r="C12" s="78">
        <v>6.9570000000000007E-2</v>
      </c>
      <c r="E12" s="77" t="s">
        <v>297</v>
      </c>
      <c r="F12" s="76">
        <v>3</v>
      </c>
      <c r="G12" s="78">
        <v>0.36582900000000002</v>
      </c>
      <c r="H12">
        <f t="shared" si="0"/>
        <v>0</v>
      </c>
      <c r="I12">
        <f t="shared" si="1"/>
        <v>-0.36582900000000002</v>
      </c>
    </row>
    <row r="13" spans="1:9" ht="15.6" thickBot="1" x14ac:dyDescent="0.3">
      <c r="A13" s="77" t="s">
        <v>233</v>
      </c>
      <c r="B13" s="76">
        <v>1</v>
      </c>
      <c r="C13" s="78">
        <v>8.9782000000000001E-2</v>
      </c>
      <c r="E13" s="77" t="s">
        <v>230</v>
      </c>
      <c r="F13" s="76">
        <v>2.9</v>
      </c>
      <c r="G13" s="78">
        <v>0.33870400000000001</v>
      </c>
      <c r="H13">
        <f t="shared" si="0"/>
        <v>0.33870400000000001</v>
      </c>
      <c r="I13">
        <f t="shared" si="1"/>
        <v>0</v>
      </c>
    </row>
    <row r="14" spans="1:9" ht="15.6" thickBot="1" x14ac:dyDescent="0.3">
      <c r="A14" s="77" t="s">
        <v>234</v>
      </c>
      <c r="B14" s="76">
        <v>6.6</v>
      </c>
      <c r="C14" s="78">
        <v>0.69869599999999998</v>
      </c>
      <c r="E14" s="77" t="s">
        <v>231</v>
      </c>
      <c r="F14" s="76">
        <v>1</v>
      </c>
      <c r="G14" s="78">
        <v>0.111419</v>
      </c>
      <c r="H14">
        <f t="shared" si="0"/>
        <v>8.4640999999999994E-2</v>
      </c>
      <c r="I14">
        <f t="shared" si="1"/>
        <v>-2.677800000000001E-2</v>
      </c>
    </row>
    <row r="15" spans="1:9" ht="27" thickBot="1" x14ac:dyDescent="0.3">
      <c r="A15" s="77" t="s">
        <v>235</v>
      </c>
      <c r="B15" s="76">
        <v>3.9</v>
      </c>
      <c r="C15" s="78">
        <v>0.44410500000000003</v>
      </c>
      <c r="E15" s="77" t="s">
        <v>232</v>
      </c>
      <c r="F15" s="76">
        <v>1</v>
      </c>
      <c r="G15" s="78">
        <v>0.106557</v>
      </c>
      <c r="H15">
        <f t="shared" si="0"/>
        <v>6.9570000000000007E-2</v>
      </c>
      <c r="I15">
        <f t="shared" si="1"/>
        <v>-3.6986999999999992E-2</v>
      </c>
    </row>
    <row r="16" spans="1:9" ht="15.6" thickBot="1" x14ac:dyDescent="0.3">
      <c r="A16" s="77" t="s">
        <v>236</v>
      </c>
      <c r="B16" s="76">
        <v>10.3</v>
      </c>
      <c r="C16" s="78">
        <v>1.188909</v>
      </c>
      <c r="E16" s="77" t="s">
        <v>233</v>
      </c>
      <c r="F16" s="76">
        <v>1</v>
      </c>
      <c r="G16" s="78">
        <v>0.103116</v>
      </c>
      <c r="H16">
        <f t="shared" si="0"/>
        <v>8.9782000000000001E-2</v>
      </c>
      <c r="I16">
        <f t="shared" si="1"/>
        <v>-1.3333999999999999E-2</v>
      </c>
    </row>
    <row r="17" spans="1:9" ht="15.6" thickBot="1" x14ac:dyDescent="0.3">
      <c r="A17" s="77" t="s">
        <v>237</v>
      </c>
      <c r="B17" s="76">
        <v>1</v>
      </c>
      <c r="C17" s="78">
        <v>0.127496</v>
      </c>
      <c r="E17" s="77" t="s">
        <v>298</v>
      </c>
      <c r="F17" s="76">
        <v>6</v>
      </c>
      <c r="G17" s="78">
        <v>0.64961400000000002</v>
      </c>
      <c r="H17">
        <f t="shared" si="0"/>
        <v>0</v>
      </c>
      <c r="I17">
        <f t="shared" si="1"/>
        <v>-0.64961400000000002</v>
      </c>
    </row>
    <row r="18" spans="1:9" ht="15.6" thickBot="1" x14ac:dyDescent="0.3">
      <c r="A18" s="77" t="s">
        <v>238</v>
      </c>
      <c r="B18" s="76">
        <v>4</v>
      </c>
      <c r="C18" s="78">
        <v>0.46947899999999998</v>
      </c>
      <c r="E18" s="77" t="s">
        <v>234</v>
      </c>
      <c r="F18" s="76">
        <v>6.6</v>
      </c>
      <c r="G18" s="78">
        <v>0.69869599999999998</v>
      </c>
      <c r="H18">
        <f t="shared" si="0"/>
        <v>0.69869599999999998</v>
      </c>
      <c r="I18">
        <f t="shared" si="1"/>
        <v>0</v>
      </c>
    </row>
    <row r="19" spans="1:9" ht="15.6" thickBot="1" x14ac:dyDescent="0.3">
      <c r="A19" s="77" t="s">
        <v>239</v>
      </c>
      <c r="B19" s="76">
        <v>5.7</v>
      </c>
      <c r="C19" s="78">
        <v>0.608464</v>
      </c>
      <c r="E19" s="77" t="s">
        <v>235</v>
      </c>
      <c r="F19" s="76">
        <v>3.9</v>
      </c>
      <c r="G19" s="78">
        <v>0.44410500000000003</v>
      </c>
      <c r="H19">
        <f t="shared" si="0"/>
        <v>0.44410500000000003</v>
      </c>
      <c r="I19">
        <f t="shared" si="1"/>
        <v>0</v>
      </c>
    </row>
    <row r="20" spans="1:9" ht="15.6" thickBot="1" x14ac:dyDescent="0.3">
      <c r="A20" s="77" t="s">
        <v>240</v>
      </c>
      <c r="B20" s="76">
        <v>1.4</v>
      </c>
      <c r="C20" s="78">
        <v>0.13797400000000001</v>
      </c>
      <c r="E20" s="77" t="s">
        <v>236</v>
      </c>
      <c r="F20" s="76">
        <v>10.3</v>
      </c>
      <c r="G20" s="78">
        <v>1.188909</v>
      </c>
      <c r="H20">
        <f t="shared" si="0"/>
        <v>1.188909</v>
      </c>
      <c r="I20">
        <f t="shared" si="1"/>
        <v>0</v>
      </c>
    </row>
    <row r="21" spans="1:9" ht="27" thickBot="1" x14ac:dyDescent="0.3">
      <c r="A21" s="77" t="s">
        <v>241</v>
      </c>
      <c r="B21" s="76">
        <v>68</v>
      </c>
      <c r="C21" s="78">
        <v>1.0246919999999999</v>
      </c>
      <c r="E21" s="77" t="s">
        <v>237</v>
      </c>
      <c r="F21" s="76">
        <v>1</v>
      </c>
      <c r="G21" s="78">
        <v>0.104712</v>
      </c>
      <c r="H21">
        <f t="shared" si="0"/>
        <v>0.127496</v>
      </c>
      <c r="I21">
        <f t="shared" si="1"/>
        <v>2.2783999999999999E-2</v>
      </c>
    </row>
    <row r="22" spans="1:9" ht="15.6" thickBot="1" x14ac:dyDescent="0.3">
      <c r="A22" s="77" t="s">
        <v>242</v>
      </c>
      <c r="B22" s="76">
        <v>3</v>
      </c>
      <c r="C22" s="78">
        <v>0.18681700000000001</v>
      </c>
      <c r="E22" s="77" t="s">
        <v>238</v>
      </c>
      <c r="F22" s="76">
        <v>4</v>
      </c>
      <c r="G22" s="78">
        <v>0.53575899999999999</v>
      </c>
      <c r="H22">
        <f t="shared" si="0"/>
        <v>0.46947899999999998</v>
      </c>
      <c r="I22">
        <f t="shared" si="1"/>
        <v>-6.6280000000000006E-2</v>
      </c>
    </row>
    <row r="23" spans="1:9" ht="15.6" thickBot="1" x14ac:dyDescent="0.3">
      <c r="A23" s="77" t="s">
        <v>243</v>
      </c>
      <c r="B23" s="76">
        <v>1</v>
      </c>
      <c r="C23" s="78">
        <v>9.2115000000000002E-2</v>
      </c>
      <c r="E23" s="77" t="s">
        <v>239</v>
      </c>
      <c r="F23" s="76">
        <v>5.7</v>
      </c>
      <c r="G23" s="78">
        <v>0.66295400000000004</v>
      </c>
      <c r="H23">
        <f t="shared" si="0"/>
        <v>0.608464</v>
      </c>
      <c r="I23">
        <f t="shared" si="1"/>
        <v>-5.4490000000000038E-2</v>
      </c>
    </row>
    <row r="24" spans="1:9" ht="15.6" thickBot="1" x14ac:dyDescent="0.3">
      <c r="A24" s="77" t="s">
        <v>244</v>
      </c>
      <c r="B24" s="76">
        <v>20</v>
      </c>
      <c r="C24" s="78">
        <v>2.277145</v>
      </c>
      <c r="E24" s="77" t="s">
        <v>240</v>
      </c>
      <c r="F24" s="76">
        <v>1.4</v>
      </c>
      <c r="G24" s="78">
        <v>0.16697100000000001</v>
      </c>
      <c r="H24">
        <f t="shared" si="0"/>
        <v>0.13797400000000001</v>
      </c>
      <c r="I24">
        <f t="shared" si="1"/>
        <v>-2.8996999999999995E-2</v>
      </c>
    </row>
    <row r="25" spans="1:9" ht="15.6" thickBot="1" x14ac:dyDescent="0.3">
      <c r="A25" s="77" t="s">
        <v>245</v>
      </c>
      <c r="B25" s="76">
        <v>103</v>
      </c>
      <c r="C25" s="78">
        <v>11.574377999999999</v>
      </c>
      <c r="E25" s="77" t="s">
        <v>241</v>
      </c>
      <c r="F25" s="76">
        <v>68</v>
      </c>
      <c r="G25" s="78">
        <v>2.9894560000000001</v>
      </c>
      <c r="H25">
        <f t="shared" si="0"/>
        <v>1.0246919999999999</v>
      </c>
      <c r="I25">
        <f t="shared" si="1"/>
        <v>-1.9647640000000002</v>
      </c>
    </row>
    <row r="26" spans="1:9" ht="15.6" thickBot="1" x14ac:dyDescent="0.3">
      <c r="A26" s="77" t="s">
        <v>246</v>
      </c>
      <c r="B26" s="76">
        <v>10</v>
      </c>
      <c r="C26" s="78">
        <v>0.85726000000000002</v>
      </c>
      <c r="E26" s="77" t="s">
        <v>242</v>
      </c>
      <c r="F26" s="76">
        <v>3</v>
      </c>
      <c r="G26" s="78">
        <v>0.33302199999999998</v>
      </c>
      <c r="H26">
        <f t="shared" si="0"/>
        <v>0.18681700000000001</v>
      </c>
      <c r="I26">
        <f t="shared" si="1"/>
        <v>-0.14620499999999997</v>
      </c>
    </row>
    <row r="27" spans="1:9" ht="15.6" thickBot="1" x14ac:dyDescent="0.3">
      <c r="A27" s="77" t="s">
        <v>247</v>
      </c>
      <c r="B27" s="76">
        <v>3</v>
      </c>
      <c r="C27" s="78">
        <v>0.230516</v>
      </c>
      <c r="E27" s="77" t="s">
        <v>243</v>
      </c>
      <c r="F27" s="76">
        <v>1</v>
      </c>
      <c r="G27" s="78">
        <v>0.115813</v>
      </c>
      <c r="H27">
        <f t="shared" si="0"/>
        <v>9.2115000000000002E-2</v>
      </c>
      <c r="I27">
        <f t="shared" si="1"/>
        <v>-2.3697999999999997E-2</v>
      </c>
    </row>
    <row r="28" spans="1:9" ht="15.6" thickBot="1" x14ac:dyDescent="0.3">
      <c r="A28" s="77" t="s">
        <v>248</v>
      </c>
      <c r="B28" s="76">
        <v>3</v>
      </c>
      <c r="C28" s="78">
        <v>0.213452</v>
      </c>
      <c r="E28" s="77" t="s">
        <v>244</v>
      </c>
      <c r="F28" s="76">
        <v>20</v>
      </c>
      <c r="G28" s="78">
        <v>2.277145</v>
      </c>
      <c r="H28">
        <f t="shared" si="0"/>
        <v>2.277145</v>
      </c>
      <c r="I28">
        <f t="shared" si="1"/>
        <v>0</v>
      </c>
    </row>
    <row r="29" spans="1:9" ht="15.6" thickBot="1" x14ac:dyDescent="0.3">
      <c r="A29" s="77" t="s">
        <v>249</v>
      </c>
      <c r="B29" s="76">
        <v>20</v>
      </c>
      <c r="C29" s="78">
        <v>1.4014949999999999</v>
      </c>
      <c r="E29" s="77" t="s">
        <v>245</v>
      </c>
      <c r="F29" s="76">
        <v>102.57</v>
      </c>
      <c r="G29" s="78">
        <v>11.526218</v>
      </c>
      <c r="H29">
        <f t="shared" si="0"/>
        <v>11.574377999999999</v>
      </c>
      <c r="I29">
        <f t="shared" si="1"/>
        <v>4.8159999999999314E-2</v>
      </c>
    </row>
    <row r="30" spans="1:9" ht="15.6" thickBot="1" x14ac:dyDescent="0.3">
      <c r="A30" s="77" t="s">
        <v>250</v>
      </c>
      <c r="B30" s="76">
        <v>1</v>
      </c>
      <c r="C30" s="78">
        <v>5.9748999999999997E-2</v>
      </c>
      <c r="E30" s="77" t="s">
        <v>246</v>
      </c>
      <c r="F30" s="76">
        <v>10</v>
      </c>
      <c r="G30" s="78">
        <v>1.090274</v>
      </c>
      <c r="H30">
        <f t="shared" si="0"/>
        <v>0.85726000000000002</v>
      </c>
      <c r="I30">
        <f t="shared" si="1"/>
        <v>-0.23301399999999994</v>
      </c>
    </row>
    <row r="31" spans="1:9" ht="15.6" thickBot="1" x14ac:dyDescent="0.3">
      <c r="A31" s="77" t="s">
        <v>251</v>
      </c>
      <c r="B31" s="76">
        <v>3</v>
      </c>
      <c r="C31" s="78">
        <v>0.175479</v>
      </c>
      <c r="E31" s="77" t="s">
        <v>247</v>
      </c>
      <c r="F31" s="76">
        <v>3</v>
      </c>
      <c r="G31" s="78">
        <v>0.324818</v>
      </c>
      <c r="H31">
        <f t="shared" si="0"/>
        <v>0.230516</v>
      </c>
      <c r="I31">
        <f t="shared" si="1"/>
        <v>-9.4301999999999997E-2</v>
      </c>
    </row>
    <row r="32" spans="1:9" ht="15.6" thickBot="1" x14ac:dyDescent="0.3">
      <c r="A32" s="77" t="s">
        <v>252</v>
      </c>
      <c r="B32" s="76">
        <v>22.6</v>
      </c>
      <c r="C32" s="78">
        <v>2.4055070000000001</v>
      </c>
      <c r="E32" s="77" t="s">
        <v>248</v>
      </c>
      <c r="F32" s="76">
        <v>3</v>
      </c>
      <c r="G32" s="78">
        <v>0.311836</v>
      </c>
      <c r="H32">
        <f t="shared" si="0"/>
        <v>0.213452</v>
      </c>
      <c r="I32">
        <f t="shared" si="1"/>
        <v>-9.8383999999999999E-2</v>
      </c>
    </row>
    <row r="33" spans="1:9" ht="15.6" thickBot="1" x14ac:dyDescent="0.3">
      <c r="A33" s="77" t="s">
        <v>253</v>
      </c>
      <c r="B33" s="76">
        <v>10</v>
      </c>
      <c r="C33" s="78">
        <v>0.77479500000000001</v>
      </c>
      <c r="E33" s="77" t="s">
        <v>249</v>
      </c>
      <c r="F33" s="76">
        <v>20</v>
      </c>
      <c r="G33" s="78">
        <v>2.1387139999999998</v>
      </c>
      <c r="H33">
        <f t="shared" si="0"/>
        <v>1.4014949999999999</v>
      </c>
      <c r="I33">
        <f t="shared" si="1"/>
        <v>-0.73721899999999985</v>
      </c>
    </row>
    <row r="34" spans="1:9" ht="15.6" thickBot="1" x14ac:dyDescent="0.3">
      <c r="A34" s="77" t="s">
        <v>254</v>
      </c>
      <c r="B34" s="76">
        <v>9.86</v>
      </c>
      <c r="C34" s="78">
        <v>0.98426400000000003</v>
      </c>
      <c r="E34" s="77" t="s">
        <v>250</v>
      </c>
      <c r="F34" s="76">
        <v>1</v>
      </c>
      <c r="G34" s="78">
        <v>9.6514000000000003E-2</v>
      </c>
      <c r="H34">
        <f t="shared" si="0"/>
        <v>5.9748999999999997E-2</v>
      </c>
      <c r="I34">
        <f t="shared" si="1"/>
        <v>-3.6765000000000006E-2</v>
      </c>
    </row>
    <row r="35" spans="1:9" ht="15.6" thickBot="1" x14ac:dyDescent="0.3">
      <c r="A35" s="77" t="s">
        <v>255</v>
      </c>
      <c r="B35" s="76">
        <v>6</v>
      </c>
      <c r="C35" s="78">
        <v>0.54530800000000001</v>
      </c>
      <c r="E35" s="77" t="s">
        <v>251</v>
      </c>
      <c r="F35" s="76">
        <v>3</v>
      </c>
      <c r="G35" s="78">
        <v>0.31356200000000001</v>
      </c>
      <c r="H35">
        <f t="shared" si="0"/>
        <v>0.175479</v>
      </c>
      <c r="I35">
        <f t="shared" si="1"/>
        <v>-0.13808300000000001</v>
      </c>
    </row>
    <row r="36" spans="1:9" ht="27" thickBot="1" x14ac:dyDescent="0.3">
      <c r="A36" s="77" t="s">
        <v>256</v>
      </c>
      <c r="B36" s="76">
        <v>1</v>
      </c>
      <c r="C36" s="78">
        <v>9.0884999999999994E-2</v>
      </c>
      <c r="E36" s="77" t="s">
        <v>252</v>
      </c>
      <c r="F36" s="76">
        <v>22.6</v>
      </c>
      <c r="G36" s="78">
        <v>2.4055070000000001</v>
      </c>
      <c r="H36">
        <f t="shared" si="0"/>
        <v>2.4055070000000001</v>
      </c>
      <c r="I36">
        <f t="shared" si="1"/>
        <v>0</v>
      </c>
    </row>
    <row r="37" spans="1:9" ht="15.6" thickBot="1" x14ac:dyDescent="0.3">
      <c r="A37" s="77" t="s">
        <v>257</v>
      </c>
      <c r="B37" s="76">
        <v>12.5</v>
      </c>
      <c r="C37" s="78">
        <v>1.130943</v>
      </c>
      <c r="E37" s="77" t="s">
        <v>253</v>
      </c>
      <c r="F37" s="76">
        <v>10</v>
      </c>
      <c r="G37" s="78">
        <v>0.77479500000000001</v>
      </c>
      <c r="H37">
        <f t="shared" si="0"/>
        <v>0.77479500000000001</v>
      </c>
      <c r="I37">
        <f t="shared" si="1"/>
        <v>0</v>
      </c>
    </row>
    <row r="38" spans="1:9" ht="15.6" thickBot="1" x14ac:dyDescent="0.3">
      <c r="A38" s="77" t="s">
        <v>258</v>
      </c>
      <c r="B38" s="76">
        <v>7.84</v>
      </c>
      <c r="C38" s="78">
        <v>0.70959899999999998</v>
      </c>
      <c r="E38" s="77" t="s">
        <v>254</v>
      </c>
      <c r="F38" s="76">
        <v>9</v>
      </c>
      <c r="G38" s="78">
        <v>0.97955599999999998</v>
      </c>
      <c r="H38">
        <f t="shared" si="0"/>
        <v>0.98426400000000003</v>
      </c>
      <c r="I38">
        <f t="shared" si="1"/>
        <v>4.7080000000000455E-3</v>
      </c>
    </row>
    <row r="39" spans="1:9" ht="15.6" thickBot="1" x14ac:dyDescent="0.3">
      <c r="A39" s="77" t="s">
        <v>259</v>
      </c>
      <c r="B39" s="76">
        <v>3</v>
      </c>
      <c r="C39" s="78">
        <v>0.31686999999999999</v>
      </c>
      <c r="E39" s="77" t="s">
        <v>255</v>
      </c>
      <c r="F39" s="76">
        <v>6</v>
      </c>
      <c r="G39" s="78">
        <v>0.597966</v>
      </c>
      <c r="H39">
        <f t="shared" si="0"/>
        <v>0.54530800000000001</v>
      </c>
      <c r="I39">
        <f t="shared" si="1"/>
        <v>-5.2657999999999983E-2</v>
      </c>
    </row>
    <row r="40" spans="1:9" ht="15.6" thickBot="1" x14ac:dyDescent="0.3">
      <c r="A40" s="77" t="s">
        <v>260</v>
      </c>
      <c r="B40" s="76">
        <v>30</v>
      </c>
      <c r="C40" s="78">
        <v>3.1686990000000002</v>
      </c>
      <c r="E40" s="77" t="s">
        <v>256</v>
      </c>
      <c r="F40" s="76">
        <v>1</v>
      </c>
      <c r="G40" s="78">
        <v>9.9661E-2</v>
      </c>
      <c r="H40">
        <f t="shared" si="0"/>
        <v>9.0884999999999994E-2</v>
      </c>
      <c r="I40">
        <f t="shared" si="1"/>
        <v>-8.776000000000006E-3</v>
      </c>
    </row>
    <row r="41" spans="1:9" ht="15.6" thickBot="1" x14ac:dyDescent="0.3">
      <c r="A41" s="77" t="s">
        <v>261</v>
      </c>
      <c r="B41" s="76">
        <v>1</v>
      </c>
      <c r="C41" s="78">
        <v>0.10389</v>
      </c>
      <c r="E41" s="77" t="s">
        <v>257</v>
      </c>
      <c r="F41" s="76">
        <v>12.5</v>
      </c>
      <c r="G41" s="78">
        <v>1.344158</v>
      </c>
      <c r="H41">
        <f t="shared" si="0"/>
        <v>1.130943</v>
      </c>
      <c r="I41">
        <f t="shared" si="1"/>
        <v>-0.21321499999999993</v>
      </c>
    </row>
    <row r="42" spans="1:9" ht="15.6" thickBot="1" x14ac:dyDescent="0.3">
      <c r="A42" s="77" t="s">
        <v>262</v>
      </c>
      <c r="B42" s="76">
        <v>21.3</v>
      </c>
      <c r="C42" s="78">
        <v>1.566209</v>
      </c>
      <c r="E42" s="77" t="s">
        <v>258</v>
      </c>
      <c r="F42" s="76">
        <v>7.84</v>
      </c>
      <c r="G42" s="78">
        <v>0.84337799999999996</v>
      </c>
      <c r="H42">
        <f t="shared" si="0"/>
        <v>0.70959899999999998</v>
      </c>
      <c r="I42">
        <f t="shared" si="1"/>
        <v>-0.13377899999999998</v>
      </c>
    </row>
    <row r="43" spans="1:9" ht="15.6" thickBot="1" x14ac:dyDescent="0.3">
      <c r="A43" s="77" t="s">
        <v>263</v>
      </c>
      <c r="B43" s="76">
        <v>11</v>
      </c>
      <c r="C43" s="78">
        <v>0.85069600000000001</v>
      </c>
      <c r="E43" s="77" t="s">
        <v>259</v>
      </c>
      <c r="F43" s="76">
        <v>3</v>
      </c>
      <c r="G43" s="78">
        <v>0.31686999999999999</v>
      </c>
      <c r="H43">
        <f t="shared" si="0"/>
        <v>0.31686999999999999</v>
      </c>
      <c r="I43">
        <f t="shared" si="1"/>
        <v>0</v>
      </c>
    </row>
    <row r="44" spans="1:9" ht="15.6" thickBot="1" x14ac:dyDescent="0.3">
      <c r="A44" s="77" t="s">
        <v>264</v>
      </c>
      <c r="B44" s="76">
        <v>5</v>
      </c>
      <c r="C44" s="78">
        <v>0.50500900000000004</v>
      </c>
      <c r="E44" s="77" t="s">
        <v>260</v>
      </c>
      <c r="F44" s="76">
        <v>30</v>
      </c>
      <c r="G44" s="78">
        <v>3.1686990000000002</v>
      </c>
      <c r="H44">
        <f t="shared" si="0"/>
        <v>3.1686990000000002</v>
      </c>
      <c r="I44">
        <f t="shared" si="1"/>
        <v>0</v>
      </c>
    </row>
    <row r="45" spans="1:9" ht="15.6" thickBot="1" x14ac:dyDescent="0.3">
      <c r="A45" s="77" t="s">
        <v>265</v>
      </c>
      <c r="B45" s="76">
        <v>1</v>
      </c>
      <c r="C45" s="78">
        <v>9.6126000000000003E-2</v>
      </c>
      <c r="E45" s="77" t="s">
        <v>261</v>
      </c>
      <c r="F45" s="76">
        <v>1</v>
      </c>
      <c r="G45" s="78">
        <v>0.10389</v>
      </c>
      <c r="H45">
        <f t="shared" si="0"/>
        <v>0.10389</v>
      </c>
      <c r="I45">
        <f t="shared" si="1"/>
        <v>0</v>
      </c>
    </row>
    <row r="46" spans="1:9" ht="15.6" thickBot="1" x14ac:dyDescent="0.3">
      <c r="A46" s="77" t="s">
        <v>266</v>
      </c>
      <c r="B46" s="76">
        <v>0.11</v>
      </c>
      <c r="C46" s="78">
        <v>1.1185E-2</v>
      </c>
      <c r="E46" s="77" t="s">
        <v>262</v>
      </c>
      <c r="F46" s="76">
        <v>21.3</v>
      </c>
      <c r="G46" s="78">
        <v>2.1222530000000002</v>
      </c>
      <c r="H46">
        <f t="shared" si="0"/>
        <v>1.566209</v>
      </c>
      <c r="I46">
        <f t="shared" si="1"/>
        <v>-0.5560440000000002</v>
      </c>
    </row>
    <row r="47" spans="1:9" ht="15.6" thickBot="1" x14ac:dyDescent="0.3">
      <c r="A47" s="77" t="s">
        <v>267</v>
      </c>
      <c r="B47" s="76">
        <v>1</v>
      </c>
      <c r="C47" s="78">
        <v>9.5594999999999999E-2</v>
      </c>
      <c r="E47" s="77" t="s">
        <v>263</v>
      </c>
      <c r="F47" s="76">
        <v>11</v>
      </c>
      <c r="G47" s="78">
        <v>1.0725880000000001</v>
      </c>
      <c r="H47">
        <f t="shared" si="0"/>
        <v>0.85069600000000001</v>
      </c>
      <c r="I47">
        <f t="shared" si="1"/>
        <v>-0.22189200000000009</v>
      </c>
    </row>
    <row r="48" spans="1:9" ht="15.6" thickBot="1" x14ac:dyDescent="0.3">
      <c r="A48" s="77" t="s">
        <v>268</v>
      </c>
      <c r="B48" s="76">
        <v>1</v>
      </c>
      <c r="C48" s="78">
        <v>9.9136000000000002E-2</v>
      </c>
      <c r="E48" s="77" t="s">
        <v>264</v>
      </c>
      <c r="F48" s="76">
        <v>5</v>
      </c>
      <c r="G48" s="78">
        <v>0.50500900000000004</v>
      </c>
      <c r="H48">
        <f t="shared" si="0"/>
        <v>0.50500900000000004</v>
      </c>
      <c r="I48">
        <f t="shared" si="1"/>
        <v>0</v>
      </c>
    </row>
    <row r="49" spans="1:9" ht="15.6" thickBot="1" x14ac:dyDescent="0.3">
      <c r="A49" s="77" t="s">
        <v>269</v>
      </c>
      <c r="B49" s="76">
        <v>6</v>
      </c>
      <c r="C49" s="78">
        <v>0.42043599999999998</v>
      </c>
      <c r="E49" s="77" t="s">
        <v>265</v>
      </c>
      <c r="F49" s="76">
        <v>1</v>
      </c>
      <c r="G49" s="78">
        <v>9.6126000000000003E-2</v>
      </c>
      <c r="H49">
        <f t="shared" si="0"/>
        <v>9.6126000000000003E-2</v>
      </c>
      <c r="I49">
        <f t="shared" si="1"/>
        <v>0</v>
      </c>
    </row>
    <row r="50" spans="1:9" ht="15.6" thickBot="1" x14ac:dyDescent="0.3">
      <c r="A50" s="77" t="s">
        <v>270</v>
      </c>
      <c r="B50" s="76">
        <v>21.96</v>
      </c>
      <c r="C50" s="78">
        <v>0.51296200000000003</v>
      </c>
      <c r="E50" s="77" t="s">
        <v>266</v>
      </c>
      <c r="F50" s="76">
        <v>0.11</v>
      </c>
      <c r="G50" s="78">
        <v>1.1185E-2</v>
      </c>
      <c r="H50">
        <f t="shared" si="0"/>
        <v>1.1185E-2</v>
      </c>
      <c r="I50">
        <f t="shared" si="1"/>
        <v>0</v>
      </c>
    </row>
    <row r="51" spans="1:9" ht="15.6" thickBot="1" x14ac:dyDescent="0.3">
      <c r="A51" s="77" t="s">
        <v>271</v>
      </c>
      <c r="B51" s="76">
        <v>23</v>
      </c>
      <c r="C51" s="78">
        <v>2.3686850000000002</v>
      </c>
      <c r="E51" s="77" t="s">
        <v>299</v>
      </c>
      <c r="F51" s="76">
        <v>1.01</v>
      </c>
      <c r="G51" s="78">
        <v>0.100147</v>
      </c>
      <c r="H51">
        <f t="shared" si="0"/>
        <v>0</v>
      </c>
      <c r="I51">
        <f t="shared" si="1"/>
        <v>-0.100147</v>
      </c>
    </row>
    <row r="52" spans="1:9" ht="15.6" thickBot="1" x14ac:dyDescent="0.3">
      <c r="A52" s="77" t="s">
        <v>272</v>
      </c>
      <c r="B52" s="76">
        <v>10</v>
      </c>
      <c r="C52" s="78">
        <v>0.98882199999999998</v>
      </c>
      <c r="E52" s="77" t="s">
        <v>267</v>
      </c>
      <c r="F52" s="76">
        <v>1</v>
      </c>
      <c r="G52" s="78">
        <v>9.5594999999999999E-2</v>
      </c>
      <c r="H52">
        <f t="shared" si="0"/>
        <v>9.5594999999999999E-2</v>
      </c>
      <c r="I52">
        <f t="shared" si="1"/>
        <v>0</v>
      </c>
    </row>
    <row r="53" spans="1:9" ht="15.6" thickBot="1" x14ac:dyDescent="0.3">
      <c r="A53" s="77" t="s">
        <v>273</v>
      </c>
      <c r="B53" s="76">
        <v>15.1</v>
      </c>
      <c r="C53" s="78">
        <v>1.4809140000000001</v>
      </c>
      <c r="E53" s="77" t="s">
        <v>268</v>
      </c>
      <c r="F53" s="76">
        <v>1</v>
      </c>
      <c r="G53" s="78">
        <v>9.9136000000000002E-2</v>
      </c>
      <c r="H53">
        <f t="shared" si="0"/>
        <v>9.9136000000000002E-2</v>
      </c>
      <c r="I53">
        <f t="shared" si="1"/>
        <v>0</v>
      </c>
    </row>
    <row r="54" spans="1:9" ht="15.6" thickBot="1" x14ac:dyDescent="0.3">
      <c r="A54" s="77" t="s">
        <v>274</v>
      </c>
      <c r="B54" s="76">
        <v>11.9</v>
      </c>
      <c r="C54" s="78">
        <v>1.2563470000000001</v>
      </c>
      <c r="E54" s="77" t="s">
        <v>269</v>
      </c>
      <c r="F54" s="76">
        <v>6</v>
      </c>
      <c r="G54" s="78">
        <v>0.49594100000000002</v>
      </c>
      <c r="H54">
        <f t="shared" si="0"/>
        <v>0.42043599999999998</v>
      </c>
      <c r="I54">
        <f t="shared" si="1"/>
        <v>-7.5505000000000044E-2</v>
      </c>
    </row>
    <row r="55" spans="1:9" ht="27" thickBot="1" x14ac:dyDescent="0.3">
      <c r="A55" s="77" t="s">
        <v>275</v>
      </c>
      <c r="B55" s="76">
        <v>1</v>
      </c>
      <c r="C55" s="78">
        <v>6.1802999999999997E-2</v>
      </c>
      <c r="E55" s="77" t="s">
        <v>270</v>
      </c>
      <c r="F55" s="76">
        <v>21.96</v>
      </c>
      <c r="G55" s="78">
        <v>2.3437039999999998</v>
      </c>
      <c r="H55">
        <f t="shared" si="0"/>
        <v>0.51296200000000003</v>
      </c>
      <c r="I55">
        <f t="shared" si="1"/>
        <v>-1.8307419999999999</v>
      </c>
    </row>
    <row r="56" spans="1:9" ht="15.6" thickBot="1" x14ac:dyDescent="0.3">
      <c r="A56" s="77" t="s">
        <v>276</v>
      </c>
      <c r="B56" s="76">
        <v>1</v>
      </c>
      <c r="C56" s="78">
        <v>9.8073999999999995E-2</v>
      </c>
      <c r="E56" s="77" t="s">
        <v>271</v>
      </c>
      <c r="F56" s="76">
        <v>23</v>
      </c>
      <c r="G56" s="78">
        <v>2.3686850000000002</v>
      </c>
      <c r="H56">
        <f t="shared" si="0"/>
        <v>2.3686850000000002</v>
      </c>
      <c r="I56">
        <f t="shared" si="1"/>
        <v>0</v>
      </c>
    </row>
    <row r="57" spans="1:9" ht="27" thickBot="1" x14ac:dyDescent="0.3">
      <c r="A57" s="77" t="s">
        <v>277</v>
      </c>
      <c r="B57" s="76">
        <v>20</v>
      </c>
      <c r="C57" s="78">
        <v>1.542997</v>
      </c>
      <c r="E57" s="77" t="s">
        <v>272</v>
      </c>
      <c r="F57" s="76">
        <v>10</v>
      </c>
      <c r="G57" s="78">
        <v>0.98882199999999998</v>
      </c>
      <c r="H57">
        <f t="shared" si="0"/>
        <v>0.98882199999999998</v>
      </c>
      <c r="I57">
        <f t="shared" si="1"/>
        <v>0</v>
      </c>
    </row>
    <row r="58" spans="1:9" ht="15.6" thickBot="1" x14ac:dyDescent="0.3">
      <c r="A58" s="77" t="s">
        <v>278</v>
      </c>
      <c r="B58" s="76">
        <v>5</v>
      </c>
      <c r="C58" s="78">
        <v>0.48750700000000002</v>
      </c>
      <c r="E58" s="77" t="s">
        <v>273</v>
      </c>
      <c r="F58" s="76">
        <v>15.1</v>
      </c>
      <c r="G58" s="78">
        <v>1.4809140000000001</v>
      </c>
      <c r="H58">
        <f t="shared" si="0"/>
        <v>1.4809140000000001</v>
      </c>
      <c r="I58">
        <f t="shared" si="1"/>
        <v>0</v>
      </c>
    </row>
    <row r="59" spans="1:9" ht="15.6" thickBot="1" x14ac:dyDescent="0.3">
      <c r="A59" s="77" t="s">
        <v>279</v>
      </c>
      <c r="B59" s="76">
        <v>1</v>
      </c>
      <c r="C59" s="78">
        <v>9.8288E-2</v>
      </c>
      <c r="E59" s="77" t="s">
        <v>274</v>
      </c>
      <c r="F59" s="76">
        <v>11.9</v>
      </c>
      <c r="G59" s="78">
        <v>1.163918</v>
      </c>
      <c r="H59">
        <f t="shared" si="0"/>
        <v>1.2563470000000001</v>
      </c>
      <c r="I59">
        <f t="shared" si="1"/>
        <v>9.2429000000000094E-2</v>
      </c>
    </row>
    <row r="60" spans="1:9" ht="15.6" thickBot="1" x14ac:dyDescent="0.3">
      <c r="A60" s="77" t="s">
        <v>280</v>
      </c>
      <c r="B60" s="76">
        <v>2.8</v>
      </c>
      <c r="C60" s="78">
        <v>0.28204200000000001</v>
      </c>
      <c r="E60" s="77" t="s">
        <v>275</v>
      </c>
      <c r="F60" s="76">
        <v>1</v>
      </c>
      <c r="G60" s="78">
        <v>7.5784000000000004E-2</v>
      </c>
      <c r="H60">
        <f t="shared" si="0"/>
        <v>6.1802999999999997E-2</v>
      </c>
      <c r="I60">
        <f t="shared" si="1"/>
        <v>-1.3981000000000007E-2</v>
      </c>
    </row>
    <row r="61" spans="1:9" ht="15.6" thickBot="1" x14ac:dyDescent="0.3">
      <c r="A61" s="77" t="s">
        <v>281</v>
      </c>
      <c r="B61" s="76">
        <v>1</v>
      </c>
      <c r="C61" s="78">
        <v>9.3266000000000002E-2</v>
      </c>
      <c r="E61" s="77" t="s">
        <v>276</v>
      </c>
      <c r="F61" s="76">
        <v>1</v>
      </c>
      <c r="G61" s="78">
        <v>9.8073999999999995E-2</v>
      </c>
      <c r="H61">
        <f t="shared" si="0"/>
        <v>9.8073999999999995E-2</v>
      </c>
      <c r="I61">
        <f t="shared" si="1"/>
        <v>0</v>
      </c>
    </row>
    <row r="62" spans="1:9" ht="15.6" thickBot="1" x14ac:dyDescent="0.3">
      <c r="A62" s="77" t="s">
        <v>282</v>
      </c>
      <c r="B62" s="76">
        <v>2</v>
      </c>
      <c r="C62" s="78">
        <v>0.19927800000000001</v>
      </c>
      <c r="E62" s="77" t="s">
        <v>277</v>
      </c>
      <c r="F62" s="76">
        <v>20</v>
      </c>
      <c r="G62" s="78">
        <v>1.9410620000000001</v>
      </c>
      <c r="H62">
        <f t="shared" si="0"/>
        <v>1.542997</v>
      </c>
      <c r="I62">
        <f t="shared" si="1"/>
        <v>-0.39806500000000011</v>
      </c>
    </row>
    <row r="63" spans="1:9" ht="15.6" thickBot="1" x14ac:dyDescent="0.3">
      <c r="A63" s="77" t="s">
        <v>283</v>
      </c>
      <c r="B63" s="76">
        <v>2</v>
      </c>
      <c r="C63" s="78">
        <v>0.190413</v>
      </c>
      <c r="E63" s="77" t="s">
        <v>278</v>
      </c>
      <c r="F63" s="76">
        <v>5</v>
      </c>
      <c r="G63" s="78">
        <v>0.48750700000000002</v>
      </c>
      <c r="H63">
        <f t="shared" si="0"/>
        <v>0.48750700000000002</v>
      </c>
      <c r="I63">
        <f t="shared" si="1"/>
        <v>0</v>
      </c>
    </row>
    <row r="64" spans="1:9" ht="15.6" thickBot="1" x14ac:dyDescent="0.3">
      <c r="A64" s="77" t="s">
        <v>284</v>
      </c>
      <c r="B64" s="76">
        <v>2</v>
      </c>
      <c r="C64" s="78">
        <v>0.19463</v>
      </c>
      <c r="E64" s="77" t="s">
        <v>300</v>
      </c>
      <c r="F64" s="76">
        <v>20</v>
      </c>
      <c r="G64" s="78">
        <v>2.0075029999999998</v>
      </c>
      <c r="H64">
        <f t="shared" si="0"/>
        <v>0</v>
      </c>
      <c r="I64">
        <f t="shared" si="1"/>
        <v>-2.0075029999999998</v>
      </c>
    </row>
    <row r="65" spans="1:9" ht="15.6" thickBot="1" x14ac:dyDescent="0.3">
      <c r="A65" s="77" t="s">
        <v>285</v>
      </c>
      <c r="B65" s="76">
        <v>1</v>
      </c>
      <c r="C65" s="78">
        <v>5.8182999999999999E-2</v>
      </c>
      <c r="E65" s="77" t="s">
        <v>279</v>
      </c>
      <c r="F65" s="76">
        <v>1</v>
      </c>
      <c r="G65" s="78">
        <v>9.8288E-2</v>
      </c>
      <c r="H65">
        <f t="shared" si="0"/>
        <v>9.8288E-2</v>
      </c>
      <c r="I65">
        <f t="shared" si="1"/>
        <v>0</v>
      </c>
    </row>
    <row r="66" spans="1:9" ht="15.6" thickBot="1" x14ac:dyDescent="0.3">
      <c r="A66" s="77" t="s">
        <v>286</v>
      </c>
      <c r="B66" s="76">
        <v>1.99</v>
      </c>
      <c r="C66" s="78">
        <v>0.1817</v>
      </c>
      <c r="E66" s="77" t="s">
        <v>280</v>
      </c>
      <c r="F66" s="76">
        <v>2.8</v>
      </c>
      <c r="G66" s="78">
        <v>0.28204200000000001</v>
      </c>
      <c r="H66">
        <f t="shared" si="0"/>
        <v>0.28204200000000001</v>
      </c>
      <c r="I66">
        <f t="shared" si="1"/>
        <v>0</v>
      </c>
    </row>
    <row r="67" spans="1:9" ht="15.6" thickBot="1" x14ac:dyDescent="0.3">
      <c r="A67" s="77" t="s">
        <v>287</v>
      </c>
      <c r="B67" s="76">
        <v>8</v>
      </c>
      <c r="C67" s="78">
        <v>0.57473799999999997</v>
      </c>
      <c r="E67" s="77" t="s">
        <v>301</v>
      </c>
      <c r="F67" s="76">
        <v>3</v>
      </c>
      <c r="G67" s="78">
        <v>0.29169899999999999</v>
      </c>
      <c r="H67">
        <f t="shared" ref="H67:H82" si="2">_xlfn.IFNA(VLOOKUP(E67,$A$2:$C$200,3,FALSE),0)</f>
        <v>0</v>
      </c>
      <c r="I67">
        <f t="shared" ref="I67:I82" si="3">H67-G67</f>
        <v>-0.29169899999999999</v>
      </c>
    </row>
    <row r="68" spans="1:9" ht="15.6" thickBot="1" x14ac:dyDescent="0.3">
      <c r="A68" s="77" t="s">
        <v>288</v>
      </c>
      <c r="B68" s="76">
        <v>3.25</v>
      </c>
      <c r="C68" s="78">
        <v>0.31491599999999997</v>
      </c>
      <c r="E68" s="77" t="s">
        <v>281</v>
      </c>
      <c r="F68" s="76">
        <v>1</v>
      </c>
      <c r="G68" s="78">
        <v>9.3266000000000002E-2</v>
      </c>
      <c r="H68">
        <f t="shared" si="2"/>
        <v>9.3266000000000002E-2</v>
      </c>
      <c r="I68">
        <f t="shared" si="3"/>
        <v>0</v>
      </c>
    </row>
    <row r="69" spans="1:9" ht="15.6" thickBot="1" x14ac:dyDescent="0.3">
      <c r="A69" s="77" t="s">
        <v>289</v>
      </c>
      <c r="B69" s="76">
        <v>6.98</v>
      </c>
      <c r="C69" s="78">
        <v>0.67178899999999997</v>
      </c>
      <c r="E69" s="77" t="s">
        <v>282</v>
      </c>
      <c r="F69" s="76">
        <v>2</v>
      </c>
      <c r="G69" s="78">
        <v>0.19927800000000001</v>
      </c>
      <c r="H69">
        <f t="shared" si="2"/>
        <v>0.19927800000000001</v>
      </c>
      <c r="I69">
        <f t="shared" si="3"/>
        <v>0</v>
      </c>
    </row>
    <row r="70" spans="1:9" ht="15.6" thickBot="1" x14ac:dyDescent="0.3">
      <c r="A70" s="77" t="s">
        <v>290</v>
      </c>
      <c r="B70" s="76">
        <v>1</v>
      </c>
      <c r="C70" s="78">
        <v>9.8959000000000005E-2</v>
      </c>
      <c r="E70" s="77" t="s">
        <v>283</v>
      </c>
      <c r="F70" s="76">
        <v>2</v>
      </c>
      <c r="G70" s="78">
        <v>0.190413</v>
      </c>
      <c r="H70">
        <f t="shared" si="2"/>
        <v>0.190413</v>
      </c>
      <c r="I70">
        <f t="shared" si="3"/>
        <v>0</v>
      </c>
    </row>
    <row r="71" spans="1:9" ht="15.6" thickBot="1" x14ac:dyDescent="0.3">
      <c r="A71" s="77" t="s">
        <v>291</v>
      </c>
      <c r="B71" s="76">
        <v>1.93</v>
      </c>
      <c r="C71" s="78">
        <v>0.22243599999999999</v>
      </c>
      <c r="E71" s="77" t="s">
        <v>284</v>
      </c>
      <c r="F71" s="76">
        <v>2</v>
      </c>
      <c r="G71" s="78">
        <v>0.19463</v>
      </c>
      <c r="H71">
        <f t="shared" si="2"/>
        <v>0.19463</v>
      </c>
      <c r="I71">
        <f t="shared" si="3"/>
        <v>0</v>
      </c>
    </row>
    <row r="72" spans="1:9" ht="15.6" thickBot="1" x14ac:dyDescent="0.3">
      <c r="A72" s="77" t="s">
        <v>292</v>
      </c>
      <c r="B72" s="76">
        <v>2</v>
      </c>
      <c r="C72" s="78">
        <v>0.191304</v>
      </c>
      <c r="E72" s="77" t="s">
        <v>302</v>
      </c>
      <c r="F72" s="76">
        <v>2.7</v>
      </c>
      <c r="G72" s="78">
        <v>0.253662</v>
      </c>
      <c r="H72">
        <f t="shared" si="2"/>
        <v>0</v>
      </c>
      <c r="I72">
        <f t="shared" si="3"/>
        <v>-0.253662</v>
      </c>
    </row>
    <row r="73" spans="1:9" ht="15.6" thickBot="1" x14ac:dyDescent="0.3">
      <c r="A73" s="77" t="s">
        <v>293</v>
      </c>
      <c r="B73" s="76">
        <v>2.2400000000000002</v>
      </c>
      <c r="C73" s="78">
        <v>0.21743199999999999</v>
      </c>
      <c r="E73" s="77" t="s">
        <v>285</v>
      </c>
      <c r="F73" s="76">
        <v>1</v>
      </c>
      <c r="G73" s="78">
        <v>9.6776000000000001E-2</v>
      </c>
      <c r="H73">
        <f t="shared" si="2"/>
        <v>5.8182999999999999E-2</v>
      </c>
      <c r="I73">
        <f t="shared" si="3"/>
        <v>-3.8593000000000002E-2</v>
      </c>
    </row>
    <row r="74" spans="1:9" ht="15.6" thickBot="1" x14ac:dyDescent="0.3">
      <c r="A74" s="79" t="s">
        <v>294</v>
      </c>
      <c r="B74" s="80">
        <v>9.4600000000000009</v>
      </c>
      <c r="C74" s="81">
        <v>0.86481200000000003</v>
      </c>
      <c r="E74" s="77" t="s">
        <v>286</v>
      </c>
      <c r="F74" s="76">
        <v>1.99</v>
      </c>
      <c r="G74" s="78">
        <v>0.1817</v>
      </c>
      <c r="H74">
        <f t="shared" si="2"/>
        <v>0.1817</v>
      </c>
      <c r="I74">
        <f t="shared" si="3"/>
        <v>0</v>
      </c>
    </row>
    <row r="75" spans="1:9" ht="15.6" thickBot="1" x14ac:dyDescent="0.3">
      <c r="E75" s="77" t="s">
        <v>287</v>
      </c>
      <c r="F75" s="76">
        <v>8</v>
      </c>
      <c r="G75" s="78">
        <v>0.758301</v>
      </c>
      <c r="H75">
        <f t="shared" si="2"/>
        <v>0.57473799999999997</v>
      </c>
      <c r="I75">
        <f t="shared" si="3"/>
        <v>-0.18356300000000003</v>
      </c>
    </row>
    <row r="76" spans="1:9" ht="15.6" thickBot="1" x14ac:dyDescent="0.3">
      <c r="E76" s="77" t="s">
        <v>288</v>
      </c>
      <c r="F76" s="76">
        <v>3.25</v>
      </c>
      <c r="G76" s="78">
        <v>0.31491599999999997</v>
      </c>
      <c r="H76">
        <f t="shared" si="2"/>
        <v>0.31491599999999997</v>
      </c>
      <c r="I76">
        <f t="shared" si="3"/>
        <v>0</v>
      </c>
    </row>
    <row r="77" spans="1:9" ht="15.6" thickBot="1" x14ac:dyDescent="0.3">
      <c r="E77" s="77" t="s">
        <v>289</v>
      </c>
      <c r="F77" s="76">
        <v>6.98</v>
      </c>
      <c r="G77" s="78">
        <v>0.67178899999999997</v>
      </c>
      <c r="H77">
        <f t="shared" si="2"/>
        <v>0.67178899999999997</v>
      </c>
      <c r="I77">
        <f t="shared" si="3"/>
        <v>0</v>
      </c>
    </row>
    <row r="78" spans="1:9" ht="15.6" thickBot="1" x14ac:dyDescent="0.3">
      <c r="E78" s="77" t="s">
        <v>290</v>
      </c>
      <c r="F78" s="76">
        <v>1</v>
      </c>
      <c r="G78" s="78">
        <v>9.8959000000000005E-2</v>
      </c>
      <c r="H78">
        <f t="shared" si="2"/>
        <v>9.8959000000000005E-2</v>
      </c>
      <c r="I78">
        <f t="shared" si="3"/>
        <v>0</v>
      </c>
    </row>
    <row r="79" spans="1:9" ht="15.6" thickBot="1" x14ac:dyDescent="0.3">
      <c r="E79" s="77" t="s">
        <v>291</v>
      </c>
      <c r="F79" s="76">
        <v>1.93</v>
      </c>
      <c r="G79" s="78">
        <v>0.22243599999999999</v>
      </c>
      <c r="H79">
        <f t="shared" si="2"/>
        <v>0.22243599999999999</v>
      </c>
      <c r="I79">
        <f t="shared" si="3"/>
        <v>0</v>
      </c>
    </row>
    <row r="80" spans="1:9" ht="15.6" thickBot="1" x14ac:dyDescent="0.3">
      <c r="E80" s="77" t="s">
        <v>292</v>
      </c>
      <c r="F80" s="76">
        <v>2</v>
      </c>
      <c r="G80" s="78">
        <v>0.191304</v>
      </c>
      <c r="H80">
        <f t="shared" si="2"/>
        <v>0.191304</v>
      </c>
      <c r="I80">
        <f t="shared" si="3"/>
        <v>0</v>
      </c>
    </row>
    <row r="81" spans="5:9" ht="15.6" thickBot="1" x14ac:dyDescent="0.3">
      <c r="E81" s="77" t="s">
        <v>293</v>
      </c>
      <c r="F81" s="76">
        <v>2.2400000000000002</v>
      </c>
      <c r="G81" s="78">
        <v>0.21743199999999999</v>
      </c>
      <c r="H81">
        <f t="shared" si="2"/>
        <v>0.21743199999999999</v>
      </c>
      <c r="I81">
        <f t="shared" si="3"/>
        <v>0</v>
      </c>
    </row>
    <row r="82" spans="5:9" ht="15.6" thickBot="1" x14ac:dyDescent="0.3">
      <c r="E82" s="79" t="s">
        <v>294</v>
      </c>
      <c r="F82" s="80">
        <v>9.4600000000000009</v>
      </c>
      <c r="G82" s="81">
        <v>0.86481200000000003</v>
      </c>
      <c r="H82">
        <f t="shared" si="2"/>
        <v>0.86481200000000003</v>
      </c>
      <c r="I82">
        <f t="shared" si="3"/>
        <v>0</v>
      </c>
    </row>
    <row r="83" spans="5:9" ht="13.8" thickBot="1" x14ac:dyDescent="0.3">
      <c r="I83" s="82">
        <f>SUM(I2:I82)</f>
        <v>-12.299094999999999</v>
      </c>
    </row>
  </sheetData>
  <conditionalFormatting sqref="I2:I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2" r:id="rId1" display="https://realt.co/product/19317-gable-st-detroit-mi-48234/" xr:uid="{CD467B53-8D1E-412B-9EFF-66C1FE5DEF9B}"/>
    <hyperlink ref="A3" r:id="rId2" display="https://realt.co/product/1000-florida-ave-akron-oh-44314/" xr:uid="{A57629E4-9536-402B-86D7-B4F787485E42}"/>
    <hyperlink ref="A4" r:id="rId3" display="https://realt.co/product/6923-greenview-ave-detroit-mi-48228/" xr:uid="{B09131CD-B439-4870-A23F-426E3BC4622D}"/>
    <hyperlink ref="A5" r:id="rId4" display="https://realt.co/" xr:uid="{FF94FC83-D610-4353-B36B-2316FA253E76}"/>
    <hyperlink ref="A6" r:id="rId5" display="https://realt.co/product/9169-boleyn-st-detroit-mi-48224/" xr:uid="{B3096A51-83FA-4F1B-B458-2D5D4CF98182}"/>
    <hyperlink ref="A7" r:id="rId6" display="https://realt.co/product/3432-harding-street-detroit-mi-48214/" xr:uid="{9728E0FF-6AC1-44D3-A6B7-6011D918F042}"/>
    <hyperlink ref="A8" r:id="rId7" display="https://realt.co/product/8342-schaefer-highway-detroit-mi-48228/" xr:uid="{A5FBD7F5-C408-45BE-96F5-D224614BFE57}"/>
    <hyperlink ref="A9" r:id="rId8" display="https://realt.co/product/16200-fullerton-ave-detroit-mi-48227/" xr:uid="{D41D87ED-3E93-42AF-AE12-BED5372B8927}"/>
    <hyperlink ref="A10" r:id="rId9" display="https://realt.co/product/11653-nottingham-rd-detroit-mi-48224/" xr:uid="{CFC9E5E8-1109-4700-BE07-36280128D8C7}"/>
    <hyperlink ref="A11" r:id="rId10" display="https://realt.co/product/10700-whittier-ave-detroit-mi-48224/" xr:uid="{10380783-35ED-422D-BA02-2BD0F92BD741}"/>
    <hyperlink ref="A12" r:id="rId11" display="https://realt.co/product/14918-joy-rd-detroit-mi-48228/" xr:uid="{EED97FE4-BC7E-4515-A421-24743D9720CD}"/>
    <hyperlink ref="A13" r:id="rId12" display="https://realt.co/product/1542-s-ridgeway-ave-chicago-il-60623/" xr:uid="{F3FAA045-5AEA-49BF-AE10-92EFC89F2236}"/>
    <hyperlink ref="A14" r:id="rId13" display="https://realt.co/product/11957-olga-st-detroit-mi-48213/" xr:uid="{0D176149-DD1E-4E61-9DA6-A6CFBA6E8F39}"/>
    <hyperlink ref="A15" r:id="rId14" display="https://realt.co/product/893-895-w-philadelphia-st-detroit-mi-48202/" xr:uid="{57CB1200-F2BF-4BAC-8DF4-9411C0BC3672}"/>
    <hyperlink ref="A16" r:id="rId15" display="https://realt.co/product/7109-7111-pilgrim-st-detroit-mi-48238/" xr:uid="{BD8941A2-4FF1-4A73-A9A3-CAA558959487}"/>
    <hyperlink ref="A17" r:id="rId16" display="https://realt.co/product/15379-patton-st-detroit-mi-48223/" xr:uid="{48471B68-5A0E-4C22-B851-2E41AF4BF4F4}"/>
    <hyperlink ref="A18" r:id="rId17" display="https://realt.co/product/8531-intervale-st-detroit-mi-48238/" xr:uid="{94F45A13-7F71-4318-986F-5E31F4E67CC6}"/>
    <hyperlink ref="A19" r:id="rId18" display="https://realt.co/product/13041-hayes-st-detroit-mi-48205/" xr:uid="{10347095-193A-4504-86AD-F4FF7A9F81FE}"/>
    <hyperlink ref="A20" r:id="rId19" display="https://realt.co/product/1204-e-manhattan-blvd-toledo-oh-43608/" xr:uid="{8FC9E02F-BC1D-4854-BEBF-8B2CC8E693B9}"/>
    <hyperlink ref="A21" r:id="rId20" display="https://realt.co/product/8060-dreamsicle-dr-kissimmee-fl-34747/" xr:uid="{57DBE86C-9CB7-4520-8590-9A1BF34054C1}"/>
    <hyperlink ref="A22" r:id="rId21" display="https://realt.co/product/2661-2663-cortland-st-detroit-mi-48206/" xr:uid="{F66422F6-414B-4111-89FB-82F1B3782731}"/>
    <hyperlink ref="A23" r:id="rId22" display="https://realt.co/product/20160-conant-st-detroit-mi-48234/" xr:uid="{027FB4FB-BF13-43DB-9C3B-967384407ACD}"/>
    <hyperlink ref="A24" r:id="rId23" display="https://realt.co/product/5517-5519-elmhurst-detroit-mi-48204/" xr:uid="{B0704BA6-6E94-4AFD-9D1A-83F4A84F8BF2}"/>
    <hyperlink ref="A25" r:id="rId24" display="https://realt.co/product/2626-2638-wreford-st-detroit-mi-48208/" xr:uid="{0A9BA3EB-CB37-4BB3-8392-44B962BB1861}"/>
    <hyperlink ref="A26" r:id="rId25" display="https://realt.co/product/11750-morang-ave-detroit-mi-48224/" xr:uid="{5837F7B3-5710-43CF-BDD3-2DF89A160A05}"/>
    <hyperlink ref="A27" r:id="rId26" display="https://realt.co/product/13245-monica-st-detroit-mi-48238/" xr:uid="{55F61B58-8132-4564-9AC1-967FDE86134A}"/>
    <hyperlink ref="A28" r:id="rId27" display="https://realt.co/product/10518-woodland-ave-cleveland-oh-44104/" xr:uid="{D79C2505-4439-41E1-8535-20A1B58F5F39}"/>
    <hyperlink ref="A29" r:id="rId28" display="https://realt.co/product/16767-greenfield-rd-detroit-mi-48235/" xr:uid="{D2BB543E-958E-41E8-89E4-63414B8A62DB}"/>
    <hyperlink ref="A30" r:id="rId29" display="https://realt.co/product/10030-cadieux-rd-detroit-mi-48224/" xr:uid="{6CC9D7D3-3F08-4802-9768-BE4CC1A198F9}"/>
    <hyperlink ref="A31" r:id="rId30" display="https://realt.co/product/16007-nelacrest-rd-east-cleveland-oh-44112/" xr:uid="{ACC48C89-0E95-45EA-B66E-B1463B2BD391}"/>
    <hyperlink ref="A32" r:id="rId31" display="https://realt.co/product/4342-4344-cortland-st-detroit-mi-48204/" xr:uid="{386E9BC3-380B-41EE-9ACD-17EDF157A246}"/>
    <hyperlink ref="A33" r:id="rId32" display="https://realt.co/product/13835-la-salle-blvd-detroit-mi-48238/" xr:uid="{D0F27640-40E7-44B1-8533-55FA84014B0A}"/>
    <hyperlink ref="A34" r:id="rId33" display="https://realt.co/product/1610-e-state-fair-ave-detroit-mi-48203/" xr:uid="{73A3AA0E-31E2-4D91-AE88-70159B81796E}"/>
    <hyperlink ref="A35" r:id="rId34" display="https://realt.co/product/1630-e-state-fair-ave-detroit-mi-48203/" xr:uid="{8F1A8DB8-8EBA-49BF-B24D-B3FED9E699C6}"/>
    <hyperlink ref="A36" r:id="rId35" display="https://realt.co/product/1630-e-state-fair-ave-detroit-mi-48203/" xr:uid="{F573FC3E-35EC-4EC9-A6AF-2FA8B7826AAA}"/>
    <hyperlink ref="A37" r:id="rId36" display="https://realt.co/product/18980-fenton-st-detroit-mi-48219/" xr:uid="{6BC85B68-8AE1-40EF-BE0E-2BFB610B4E9F}"/>
    <hyperlink ref="A38" r:id="rId37" display="https://realt.co/product/18980-fenton-st-detroit-mi-48219/" xr:uid="{71788519-2156-4C49-BA7B-727C4F8D0BC8}"/>
    <hyperlink ref="A39" r:id="rId38" display="https://realt.co/product/19000-fenton-st-detroit-mi-48219/" xr:uid="{835EC98B-EFE3-4425-B2CC-775373370E44}"/>
    <hyperlink ref="A40" r:id="rId39" display="https://realt.co/product/19000-fenton-st-detroit-mi-48219/" xr:uid="{B318DE5B-3324-41E4-85D1-0ECD15FDF61E}"/>
    <hyperlink ref="A41" r:id="rId40" display="https://realt.co/product/3310-3312-sturtevant-st-detroit-mi-48206/" xr:uid="{72662220-3A57-45E0-8212-C1791C3D9C8E}"/>
    <hyperlink ref="A42" r:id="rId41" display="https://realt.co/product/2911-sturtevant-st-detroit-mi-48206/" xr:uid="{7D0F4EEF-9B73-4256-954C-AC1650AC9A3F}"/>
    <hyperlink ref="A43" r:id="rId42" display="https://realt.co/product/14409-linnhurst-st-detroit-mi-48205/" xr:uid="{A24EEF1C-30C0-4A85-9066-E8A97102AD3C}"/>
    <hyperlink ref="A44" r:id="rId43" display="https://realt.co/product/s-3510-ewald-circle-detroit-mi-48204/" xr:uid="{976654F2-B1CD-471C-86D4-86E6C26F187D}"/>
    <hyperlink ref="A45" r:id="rId44" display="https://realt.co/product/s-9200-harvard-rd-detroit-mi-48224/" xr:uid="{454BC0FE-76E6-40BF-89BC-F76303FC39C5}"/>
    <hyperlink ref="A46" r:id="rId45" display="https://realt.co/product/s-19391-grandview-st-detroit-mi-48219/" xr:uid="{38F63828-BD99-4415-B0D4-B0F69CDA7753}"/>
    <hyperlink ref="A47" r:id="rId46" display="https://realt.co/product/s-11117-worden-st-detroit-mi-48224/" xr:uid="{D8109FAC-258D-40D6-B4E0-BB7ED2E68B88}"/>
    <hyperlink ref="A48" r:id="rId47" display="https://realt.co/product/s-9624-abington-ave-detroit-mi-48227/" xr:uid="{12CDDD85-E061-411A-A08D-DBCC7F7E52B5}"/>
    <hyperlink ref="A49" r:id="rId48" display="https://realt.co/product/s-1418-w-marquette-rd-chicago-il-60636/" xr:uid="{2027575C-89AE-4C07-8941-F5100DC78C48}"/>
    <hyperlink ref="A50" r:id="rId49" display="https://realt.co/product/14329-strathmoor-st-detroit-mi-48227/" xr:uid="{D97C4A21-B595-47F9-B045-7C5F373981D0}"/>
    <hyperlink ref="A51" r:id="rId50" display="https://realt.co/product/19535-fairport-st-detroit-mi-48205/" xr:uid="{651BD146-12A0-433E-9D07-A156C7215DFA}"/>
    <hyperlink ref="A52" r:id="rId51" display="https://realt.co/product/8056-e-hollywood-st-detroit-mi-48234/" xr:uid="{9979670A-2A0C-4AE5-B40F-216C8F42FEAB}"/>
    <hyperlink ref="A53" r:id="rId52" display="https://realt.co/product/15240-edmore-dr-detroit-mi-48205/" xr:uid="{02B78236-A6A3-4550-B7DF-B46E1CB528CD}"/>
    <hyperlink ref="A54" r:id="rId53" display="https://realt.co/product/14622-hubbell-ave-detroit-mi-48227/" xr:uid="{5E558211-FE9F-4BC7-A3CC-089D2D0A4FA4}"/>
    <hyperlink ref="A55" r:id="rId54" display="https://realt.co/product/8003-s-ingleside-ave-chicago-il-60619/" xr:uid="{EA6104CF-E8CC-48FD-BFEF-7158E97661F7}"/>
    <hyperlink ref="A56" r:id="rId55" display="https://realt.co/product/15894-tacoma-st-detroit-mi-48205/" xr:uid="{FBC8DC53-4185-4C8D-A929-B42BB67E9E2B}"/>
    <hyperlink ref="A57" r:id="rId56" display="https://realt.co/product/14511-houston-whittier-st-detroit-mi-48205/" xr:uid="{0CBA02D7-7A28-441A-89BA-D088D97DFC3A}"/>
    <hyperlink ref="A58" r:id="rId57" display="https://realt.co/product/19530-hickory-st-detroit-mi-48205/" xr:uid="{82794F8D-B24F-48E4-8CEC-DE2BBC441001}"/>
    <hyperlink ref="A59" r:id="rId58" display="https://realt.co/product/13430-tacoma-st-detroit-mi-48205/" xr:uid="{5C587658-0CC0-4F75-9393-4C5FEFE0F2AA}"/>
    <hyperlink ref="A60" r:id="rId59" display="https://realt.co/product/13445-tacoma-st-detroit-mi-48205/" xr:uid="{F5C1BBA6-41B0-4872-8FED-C1C7783EA00B}"/>
    <hyperlink ref="A61" r:id="rId60" display="https://realt.co/product/18527-18529-kelly-rd-detroit-mi-48224/" xr:uid="{DC26A968-E39E-4F37-AD00-F81DDFDDAF93}"/>
    <hyperlink ref="A62" r:id="rId61" display="https://realt.co/product/8809-beckman-ave-cleveland-oh-44104/" xr:uid="{2D965200-218C-4794-A926-57D8F0086799}"/>
    <hyperlink ref="A63" r:id="rId62" display="https://realt.co/product/12318-imperial-ave-cleveland-oh-44120/" xr:uid="{BF43D4B0-9991-4E68-BE51-8B6537480CCE}"/>
    <hyperlink ref="A64" r:id="rId63" display="https://realt.co/product/22512-mcnichols-rd-detroit-mi-48219/" xr:uid="{E0BDCAAB-9312-4AAA-8B12-85BF3D09330F}"/>
    <hyperlink ref="A65" r:id="rId64" display="https://realt.co/product/14881-greenfield-rd-detroit-mi-48227/" xr:uid="{CB27AD5C-EA53-41A6-96A7-F96A597E99FB}"/>
    <hyperlink ref="A66" r:id="rId65" display="https://realt.co/product/11830-camden-ave-detroit-mi-48213/" xr:uid="{99EF5842-513F-485F-A8F3-61D723C39403}"/>
    <hyperlink ref="A67" r:id="rId66" display="https://realt.co/product/11701-morang-ave-detroit-mi-48224/" xr:uid="{2E620A5E-D622-46A3-B87C-5D28C6BCC2A6}"/>
    <hyperlink ref="A68" r:id="rId67" display="https://realt.co/" xr:uid="{E579ED1F-EBF2-4A4A-B220-AA66F440F861}"/>
    <hyperlink ref="A69" r:id="rId68" display="https://realt.co/product/3588-oakman-blvd-detroit-mi-48204/" xr:uid="{FEF5D26E-9D10-49BF-97BF-724321FCC820}"/>
    <hyperlink ref="A70" r:id="rId69" display="https://realt.co/product/10862-marne-st-detroit-mi-48224/" xr:uid="{BEE7FABE-B761-4395-A997-9F4F4761DC31}"/>
    <hyperlink ref="A71" r:id="rId70" display="https://realt.co/product/305-moss-st-highland-park-mi-48203/" xr:uid="{56906656-5F32-4414-B419-CAA460A1CE27}"/>
    <hyperlink ref="A72" r:id="rId71" display="https://realt.co/product/4239-alter-rd-detroit-mi-48215/" xr:uid="{B2A11917-C45B-42E0-9CA3-C78A15491AAA}"/>
    <hyperlink ref="A73" r:id="rId72" display="https://realt.co/product/10059-britain-st-detroit-mi-48224/" xr:uid="{82EC058C-A881-415D-864A-C2B4474E02E8}"/>
    <hyperlink ref="A74" r:id="rId73" display="https://realt.co/product/6582-bewick-st-detroit-mi-48213/" xr:uid="{8D1039FB-1DAF-47EB-B730-0F44BC1948DB}"/>
    <hyperlink ref="E2" r:id="rId74" display="https://realt.co/product/19317-gable-st-detroit-mi-48234/" xr:uid="{4B1CD493-B3E5-4C3C-B12B-8D14D7556E88}"/>
    <hyperlink ref="E3" r:id="rId75" display="https://realt.co/product/1000-florida-ave-akron-oh-44314/" xr:uid="{55CD83E3-A8A5-48A7-AD22-ED7A3B6AF2B8}"/>
    <hyperlink ref="E4" r:id="rId76" display="https://realt.co/product/6923-greenview-ave-detroit-mi-48228/" xr:uid="{9F174F86-6E65-4B19-945E-459B6EAD0652}"/>
    <hyperlink ref="E5" r:id="rId77" display="https://realt.co/product/10974-worden-st-detroit-mi-48224/" xr:uid="{463E7D23-43A9-4093-BDC7-35A137E38F81}"/>
    <hyperlink ref="E6" r:id="rId78" display="https://realt.co/product/9166-devonshire-rd-detroit-mi-48224/" xr:uid="{2AC9DF2F-3D44-4341-8B43-B62BAEAF29EF}"/>
    <hyperlink ref="E7" r:id="rId79" display="https://realt.co/product/9169-boleyn-st-detroit-mi-48224/" xr:uid="{A9309A88-88EE-411F-99D3-227DBDE2F416}"/>
    <hyperlink ref="E8" r:id="rId80" display="https://realt.co/product/3432-harding-street-detroit-mi-48214/" xr:uid="{F8600ADE-F0EE-42A1-99B2-39DD5614C9BA}"/>
    <hyperlink ref="E9" r:id="rId81" display="https://realt.co/product/5942-audubon-rd-detroit-mi-48224/" xr:uid="{29236EAD-E7D6-43D4-ADF3-CC1B5C7CBC72}"/>
    <hyperlink ref="E10" r:id="rId82" display="https://realt.co/product/8342-schaefer-highway-detroit-mi-48228/" xr:uid="{8043C297-6277-4C2B-9C52-4FB3C7291BA1}"/>
    <hyperlink ref="E11" r:id="rId83" display="https://realt.co/product/16200-fullerton-ave-detroit-mi-48227/" xr:uid="{EA73C5A7-3BAB-4F71-9638-1009A1F2D308}"/>
    <hyperlink ref="E12" r:id="rId84" display="https://realt.co/product/11300-roxbury-st-detroit-mi-48224/" xr:uid="{9FF90603-2077-4BF1-BDB2-8F608EB6642C}"/>
    <hyperlink ref="E13" r:id="rId85" display="https://realt.co/product/11653-nottingham-rd-detroit-mi-48224/" xr:uid="{3896D4C0-F987-4CF0-8D2A-6682C067D86C}"/>
    <hyperlink ref="E14" r:id="rId86" display="https://realt.co/product/10700-whittier-ave-detroit-mi-48224/" xr:uid="{4364E7AB-804E-4381-AA9D-D7C4198BD1AD}"/>
    <hyperlink ref="E15" r:id="rId87" display="https://realt.co/product/14918-joy-rd-detroit-mi-48228/" xr:uid="{9E38E33A-E7F7-4FA5-ACBD-1DCD42684F19}"/>
    <hyperlink ref="E16" r:id="rId88" display="https://realt.co/product/1542-s-ridgeway-ave-chicago-il-60623/" xr:uid="{4833A84D-8B55-471B-9E26-C207FABE4C20}"/>
    <hyperlink ref="E17" r:id="rId89" display="https://realt.co/product/12409-whitehill-st-detroit-mi-48224/" xr:uid="{22228A90-7F20-4E36-AA2F-AD4506608FB9}"/>
    <hyperlink ref="E18" r:id="rId90" display="https://realt.co/product/11957-olga-st-detroit-mi-48213/" xr:uid="{9EBA939A-D989-4EAA-A259-C26865F49AD9}"/>
    <hyperlink ref="E19" r:id="rId91" display="https://realt.co/product/893-895-w-philadelphia-st-detroit-mi-48202/" xr:uid="{378DEABB-0E11-4558-8811-20A52A1D642E}"/>
    <hyperlink ref="E20" r:id="rId92" display="https://realt.co/product/7109-7111-pilgrim-st-detroit-mi-48238/" xr:uid="{2127BD94-5AAB-41F1-9432-BFC7DB1AB999}"/>
    <hyperlink ref="E21" r:id="rId93" display="https://realt.co/product/15379-patton-st-detroit-mi-48223/" xr:uid="{3E88B67C-4E6D-4AC7-BE0E-F4A75C010B8C}"/>
    <hyperlink ref="E22" r:id="rId94" display="https://realt.co/product/8531-intervale-st-detroit-mi-48238/" xr:uid="{570B7B67-CCF5-4141-A65D-387FEE8A67C0}"/>
    <hyperlink ref="E23" r:id="rId95" display="https://realt.co/product/13041-hayes-st-detroit-mi-48205/" xr:uid="{42A4A6D9-A5D3-4956-972A-F4305629A630}"/>
    <hyperlink ref="E24" r:id="rId96" display="https://realt.co/product/1204-e-manhattan-blvd-toledo-oh-43608/" xr:uid="{F3A3D459-AB33-456C-BF6E-5773FA1D8124}"/>
    <hyperlink ref="E25" r:id="rId97" display="https://realt.co/product/8060-dreamsicle-dr-kissimmee-fl-34747/" xr:uid="{F9C3F421-8F05-499A-B674-240CADE39585}"/>
    <hyperlink ref="E26" r:id="rId98" display="https://realt.co/product/2661-2663-cortland-st-detroit-mi-48206/" xr:uid="{C19967F3-453E-41A5-BC06-6C54C0753B17}"/>
    <hyperlink ref="E27" r:id="rId99" display="https://realt.co/product/20160-conant-st-detroit-mi-48234/" xr:uid="{248C83A0-F800-42D3-9353-96096859B3BE}"/>
    <hyperlink ref="E28" r:id="rId100" display="https://realt.co/product/5517-5519-elmhurst-detroit-mi-48204/" xr:uid="{DD0A73DE-3198-4751-A12C-F6A4DE6DE184}"/>
    <hyperlink ref="E29" r:id="rId101" display="https://realt.co/product/2626-2638-wreford-st-detroit-mi-48208/" xr:uid="{1245D927-F0D0-42D3-9967-3B09F8DDE090}"/>
    <hyperlink ref="E30" r:id="rId102" display="https://realt.co/product/11750-morang-ave-detroit-mi-48224/" xr:uid="{DF356347-5E79-4707-851B-B18DC8C52028}"/>
    <hyperlink ref="E31" r:id="rId103" display="https://realt.co/product/13245-monica-st-detroit-mi-48238/" xr:uid="{B4E0FC13-FD38-4F76-8610-7E3865F4A0A6}"/>
    <hyperlink ref="E32" r:id="rId104" display="https://realt.co/product/10518-woodland-ave-cleveland-oh-44104/" xr:uid="{0A1C2A22-7F03-44B9-B101-8FDC7D4ADFB1}"/>
    <hyperlink ref="E33" r:id="rId105" display="https://realt.co/product/16767-greenfield-rd-detroit-mi-48235/" xr:uid="{4CAE271D-B540-4135-9342-6FF23D37161F}"/>
    <hyperlink ref="E34" r:id="rId106" display="https://realt.co/product/10030-cadieux-rd-detroit-mi-48224/" xr:uid="{DF07F8E8-0990-47F0-82AA-E21EBA34D9A3}"/>
    <hyperlink ref="E35" r:id="rId107" display="https://realt.co/product/16007-nelacrest-rd-east-cleveland-oh-44112/" xr:uid="{77F38579-CD56-44CC-BBDE-3EED769461E6}"/>
    <hyperlink ref="E36" r:id="rId108" display="https://realt.co/product/4342-4344-cortland-st-detroit-mi-48204/" xr:uid="{382E448C-DA1D-46A9-A614-CD0B41ACCA4D}"/>
    <hyperlink ref="E37" r:id="rId109" display="https://realt.co/product/13835-la-salle-blvd-detroit-mi-48238/" xr:uid="{81CBBB73-F780-4006-BA0E-75995E457C1E}"/>
    <hyperlink ref="E38" r:id="rId110" display="https://realt.co/product/1610-e-state-fair-ave-detroit-mi-48203/" xr:uid="{B62FF4A0-8F8B-4A0F-8968-C8FBBDC3ABC7}"/>
    <hyperlink ref="E39" r:id="rId111" display="https://realt.co/product/1630-e-state-fair-ave-detroit-mi-48203/" xr:uid="{7AA1FE6C-57BE-4B6C-A42D-0D82D9FA9EBF}"/>
    <hyperlink ref="E40" r:id="rId112" display="https://realt.co/product/1630-e-state-fair-ave-detroit-mi-48203/" xr:uid="{3385F213-A2D9-49AF-8C3E-01B230910901}"/>
    <hyperlink ref="E41" r:id="rId113" display="https://realt.co/product/18980-fenton-st-detroit-mi-48219/" xr:uid="{FA76418C-D145-4614-A59D-D989F28B5805}"/>
    <hyperlink ref="E42" r:id="rId114" display="https://realt.co/product/18980-fenton-st-detroit-mi-48219/" xr:uid="{A7CF006E-6525-4327-AAFE-7B74D48125DA}"/>
    <hyperlink ref="E43" r:id="rId115" display="https://realt.co/product/19000-fenton-st-detroit-mi-48219/" xr:uid="{3DCF3942-FD77-4163-89D8-EF374B46830D}"/>
    <hyperlink ref="E44" r:id="rId116" display="https://realt.co/product/19000-fenton-st-detroit-mi-48219/" xr:uid="{31DB7F7C-9CDE-43F9-98A1-193823901AE4}"/>
    <hyperlink ref="E45" r:id="rId117" display="https://realt.co/product/3310-3312-sturtevant-st-detroit-mi-48206/" xr:uid="{E37F9AEB-917B-4826-AD5C-C8BD85669E00}"/>
    <hyperlink ref="E46" r:id="rId118" display="https://realt.co/product/2911-sturtevant-st-detroit-mi-48206/" xr:uid="{40DDA48B-4322-414E-BBB9-B7F773E1D975}"/>
    <hyperlink ref="E47" r:id="rId119" display="https://realt.co/product/14409-linnhurst-st-detroit-mi-48205/" xr:uid="{14499674-EFC4-4F15-8BDC-85ADE7619FB8}"/>
    <hyperlink ref="E48" r:id="rId120" display="https://realt.co/product/s-3510-ewald-circle-detroit-mi-48204/" xr:uid="{EB7F14FB-272E-416A-ADE2-16DB479C3DBE}"/>
    <hyperlink ref="E49" r:id="rId121" display="https://realt.co/product/s-9200-harvard-rd-detroit-mi-48224/" xr:uid="{FD0252DB-9F25-4CEF-A004-3249885A03B9}"/>
    <hyperlink ref="E50" r:id="rId122" display="https://realt.co/product/s-19391-grandview-st-detroit-mi-48219/" xr:uid="{EFAC0954-E157-4254-BCF7-3E0E1E549FED}"/>
    <hyperlink ref="E51" r:id="rId123" display="https://realt.co/product/s-10703-mckinney-st-detroit-mi-48224/" xr:uid="{E6FC0F50-9ECE-4544-B811-B37BB8CD08CA}"/>
    <hyperlink ref="E52" r:id="rId124" display="https://realt.co/product/s-11117-worden-st-detroit-mi-48224/" xr:uid="{531C018E-F269-4BAB-9E4F-B774FDB4D0B7}"/>
    <hyperlink ref="E53" r:id="rId125" display="https://realt.co/product/s-9624-abington-ave-detroit-mi-48227/" xr:uid="{759E67B4-147F-4334-BCAB-209F14E64D6B}"/>
    <hyperlink ref="E54" r:id="rId126" display="https://realt.co/product/s-1418-w-marquette-rd-chicago-il-60636/" xr:uid="{E64E036D-A2B6-45D2-BC73-33596ECD186A}"/>
    <hyperlink ref="E55" r:id="rId127" display="https://realt.co/product/14329-strathmoor-st-detroit-mi-48227/" xr:uid="{EA6D771B-A886-442B-AC5B-1A5CC7F281C8}"/>
    <hyperlink ref="E56" r:id="rId128" display="https://realt.co/product/19535-fairport-st-detroit-mi-48205/" xr:uid="{8485C729-F239-4897-A941-BB52BEBDC0EB}"/>
    <hyperlink ref="E57" r:id="rId129" display="https://realt.co/product/8056-e-hollywood-st-detroit-mi-48234/" xr:uid="{B876670D-6CFA-4F7D-A585-EBA7CD15DFB6}"/>
    <hyperlink ref="E58" r:id="rId130" display="https://realt.co/product/15240-edmore-dr-detroit-mi-48205/" xr:uid="{67F57BC5-568A-4D0E-B1B2-D5392A91AF17}"/>
    <hyperlink ref="E59" r:id="rId131" display="https://realt.co/product/14622-hubbell-ave-detroit-mi-48227/" xr:uid="{1DE744F7-EAED-4CF7-9BA7-C00202C88C92}"/>
    <hyperlink ref="E60" r:id="rId132" display="https://realt.co/product/8003-s-ingleside-ave-chicago-il-60619/" xr:uid="{871CAB43-3F35-45F0-A73A-463D80FCCE7A}"/>
    <hyperlink ref="E61" r:id="rId133" display="https://realt.co/product/15894-tacoma-st-detroit-mi-48205/" xr:uid="{C96470CF-5780-4240-ABB0-923D3F1946E8}"/>
    <hyperlink ref="E62" r:id="rId134" display="https://realt.co/product/14511-houston-whittier-st-detroit-mi-48205/" xr:uid="{9460DC83-3E21-48BA-A872-89D13C140F05}"/>
    <hyperlink ref="E63" r:id="rId135" display="https://realt.co/product/19530-hickory-st-detroit-mi-48205/" xr:uid="{B362BEB4-6C1A-4841-95B3-FAED858EE2E2}"/>
    <hyperlink ref="E64" r:id="rId136" display="https://realt.co/product/9201-longacre-st-detroit-mi-48228/" xr:uid="{344BA8A4-2E8B-4858-961A-EA65CC02E055}"/>
    <hyperlink ref="E65" r:id="rId137" display="https://realt.co/product/13430-tacoma-st-detroit-mi-48205/" xr:uid="{FB9E14B7-AA8D-4956-A3EA-C65B1293E6D5}"/>
    <hyperlink ref="E66" r:id="rId138" display="https://realt.co/product/13445-tacoma-st-detroit-mi-48205/" xr:uid="{85845003-3AFF-4C90-8510-89F3B05314E0}"/>
    <hyperlink ref="E67" r:id="rId139" display="https://realt.co/product/13628-tacoma-st-detroit-mi-48205/" xr:uid="{5382542B-FFB2-43A9-AB35-A5A51DC0CA51}"/>
    <hyperlink ref="E68" r:id="rId140" display="https://realt.co/product/18527-18529-kelly-rd-detroit-mi-48224/" xr:uid="{032B0027-E256-40CE-AF1A-9B9E9B6D6653}"/>
    <hyperlink ref="E69" r:id="rId141" display="https://realt.co/product/8809-beckman-ave-cleveland-oh-44104/" xr:uid="{FD6EAF18-98A8-46EF-9FDA-3FA94ADBC787}"/>
    <hyperlink ref="E70" r:id="rId142" display="https://realt.co/product/12318-imperial-ave-cleveland-oh-44120/" xr:uid="{65A17A9F-D959-4426-B9DA-327D51D0255C}"/>
    <hyperlink ref="E71" r:id="rId143" display="https://realt.co/product/22512-mcnichols-rd-detroit-mi-48219/" xr:uid="{499731C6-F9A4-469F-810D-E25390B43287}"/>
    <hyperlink ref="E72" r:id="rId144" display="https://realt.co/product/8744-homer-st-detroit-mi-48209/" xr:uid="{B15F2232-BBEE-4BF7-9992-6740C4EF4ACD}"/>
    <hyperlink ref="E73" r:id="rId145" display="https://realt.co/product/14881-greenfield-rd-detroit-mi-48227/" xr:uid="{3E320C56-AB4E-4274-91FC-B952DBAF6722}"/>
    <hyperlink ref="E74" r:id="rId146" display="https://realt.co/product/11830-camden-ave-detroit-mi-48213/" xr:uid="{16A4E8EB-7452-4DC7-A3FF-541FFC0622AC}"/>
    <hyperlink ref="E75" r:id="rId147" display="https://realt.co/product/11701-morang-ave-detroit-mi-48224/" xr:uid="{845104CB-6CA0-4004-A914-8F93A01A4D69}"/>
    <hyperlink ref="E76" r:id="rId148" display="https://realt.co/product/11845-camden-ave-detroit-mi-48213/" xr:uid="{8F0FD295-7D08-48F0-816C-E25253E419D4}"/>
    <hyperlink ref="E77" r:id="rId149" display="https://realt.co/product/3588-oakman-blvd-detroit-mi-48204/" xr:uid="{F8D64130-D1DC-4323-BC44-0669AD17E0CD}"/>
    <hyperlink ref="E78" r:id="rId150" display="https://realt.co/product/10862-marne-st-detroit-mi-48224/" xr:uid="{C3E8E8BA-5498-47FD-A5D8-542F047D2592}"/>
    <hyperlink ref="E79" r:id="rId151" display="https://realt.co/product/305-moss-st-highland-park-mi-48203/" xr:uid="{B7AD75B6-3A61-4BC7-8BA6-26918DBF02CF}"/>
    <hyperlink ref="E80" r:id="rId152" display="https://realt.co/product/4239-alter-rd-detroit-mi-48215/" xr:uid="{12A98635-B2B1-4B70-A189-82AE2A824C4D}"/>
    <hyperlink ref="E81" r:id="rId153" display="https://realt.co/product/10059-britain-st-detroit-mi-48224/" xr:uid="{251F3571-F776-482C-953F-D05C83380929}"/>
    <hyperlink ref="E82" r:id="rId154" display="https://realt.co/product/6582-bewick-st-detroit-mi-48213/" xr:uid="{040860E9-8D72-4345-A24F-794D276F258E}"/>
  </hyperlinks>
  <pageMargins left="0.7" right="0.7" top="0.75" bottom="0.75" header="0.3" footer="0.3"/>
  <pageSetup paperSize="9" orientation="portrait" horizontalDpi="200" verticalDpi="200" r:id="rId155"/>
  <headerFooter>
    <oddHeader>&amp;L&amp;"Calibri"&amp;10&amp;K000000General Information&amp;1#</oddHeader>
  </headerFooter>
  <customProperties>
    <customPr name="_pios_id" r:id="rId156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9193-61B2-4A28-B96D-AF446CEE4B1A}">
  <sheetPr>
    <outlinePr summaryBelow="0" summaryRight="0"/>
  </sheetPr>
  <dimension ref="A1:Q27"/>
  <sheetViews>
    <sheetView workbookViewId="0">
      <selection activeCell="D7" sqref="D7"/>
    </sheetView>
  </sheetViews>
  <sheetFormatPr baseColWidth="10" defaultColWidth="13.109375" defaultRowHeight="15.75" customHeight="1" x14ac:dyDescent="0.25"/>
  <cols>
    <col min="1" max="1" width="3.5546875" customWidth="1"/>
    <col min="2" max="2" width="25.33203125" customWidth="1"/>
    <col min="7" max="7" width="23" customWidth="1"/>
    <col min="8" max="8" width="11.109375" bestFit="1" customWidth="1"/>
    <col min="9" max="9" width="10" customWidth="1"/>
    <col min="10" max="10" width="7.88671875" customWidth="1"/>
    <col min="11" max="11" width="7.5546875" customWidth="1"/>
    <col min="12" max="12" width="9.88671875" bestFit="1" customWidth="1"/>
    <col min="13" max="13" width="7.5546875" customWidth="1"/>
    <col min="14" max="14" width="7.88671875" customWidth="1"/>
    <col min="15" max="16" width="7.44140625" customWidth="1"/>
    <col min="17" max="17" width="7.88671875" customWidth="1"/>
  </cols>
  <sheetData>
    <row r="1" spans="1:17" ht="15.75" customHeight="1" x14ac:dyDescent="0.3">
      <c r="B1" s="114"/>
      <c r="C1" s="114"/>
      <c r="D1" s="114"/>
      <c r="E1" s="114"/>
      <c r="F1" s="114"/>
    </row>
    <row r="2" spans="1:17" ht="15.75" customHeight="1" x14ac:dyDescent="0.3">
      <c r="B2" s="114"/>
      <c r="C2" s="114"/>
      <c r="D2" s="114"/>
      <c r="E2" s="114"/>
      <c r="F2" s="114"/>
    </row>
    <row r="3" spans="1:17" ht="15.75" customHeight="1" x14ac:dyDescent="0.3">
      <c r="B3" s="114"/>
      <c r="C3" s="176" t="s">
        <v>321</v>
      </c>
      <c r="D3" s="177"/>
      <c r="E3" s="177"/>
      <c r="F3" s="114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</row>
    <row r="4" spans="1:17" ht="14.4" x14ac:dyDescent="0.3">
      <c r="A4" s="116"/>
      <c r="B4" s="114"/>
      <c r="C4" s="177"/>
      <c r="D4" s="177"/>
      <c r="E4" s="177"/>
      <c r="F4" s="117"/>
      <c r="H4" s="115"/>
      <c r="I4" s="115"/>
      <c r="J4" s="115"/>
      <c r="K4" s="115"/>
      <c r="L4" s="115"/>
      <c r="M4" s="115"/>
      <c r="N4" s="115"/>
      <c r="O4" s="115"/>
      <c r="P4" s="115"/>
      <c r="Q4" s="115"/>
    </row>
    <row r="5" spans="1:17" ht="14.4" x14ac:dyDescent="0.3">
      <c r="A5" s="116"/>
      <c r="B5" s="118"/>
      <c r="C5" s="118"/>
      <c r="D5" s="119"/>
      <c r="E5" s="114"/>
      <c r="F5" s="117"/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1:17" ht="14.4" x14ac:dyDescent="0.3">
      <c r="A6" s="116"/>
      <c r="B6" s="120" t="s">
        <v>322</v>
      </c>
      <c r="C6" s="121"/>
      <c r="D6" s="138">
        <v>1800</v>
      </c>
      <c r="E6" s="114"/>
      <c r="F6" s="117"/>
      <c r="G6" s="133" t="s">
        <v>332</v>
      </c>
      <c r="H6" s="139">
        <v>2000</v>
      </c>
      <c r="I6" s="115"/>
      <c r="J6" s="115"/>
      <c r="K6" s="115"/>
      <c r="L6" s="178" t="s">
        <v>340</v>
      </c>
      <c r="M6" s="179"/>
      <c r="N6" s="115"/>
      <c r="O6" s="115"/>
      <c r="P6" s="115"/>
      <c r="Q6" s="115"/>
    </row>
    <row r="7" spans="1:17" ht="14.4" x14ac:dyDescent="0.3">
      <c r="A7" s="116"/>
      <c r="B7" s="122"/>
      <c r="C7" s="121"/>
      <c r="D7" s="121"/>
      <c r="E7" s="114"/>
      <c r="F7" s="117"/>
      <c r="H7" s="115"/>
      <c r="I7" s="115"/>
      <c r="L7" s="133" t="s">
        <v>342</v>
      </c>
      <c r="M7" s="139">
        <v>2</v>
      </c>
    </row>
    <row r="8" spans="1:17" ht="14.4" x14ac:dyDescent="0.3">
      <c r="A8" s="116"/>
      <c r="B8" s="120" t="s">
        <v>323</v>
      </c>
      <c r="C8" s="123">
        <v>0.01</v>
      </c>
      <c r="D8" s="135">
        <f>D6*C8</f>
        <v>18</v>
      </c>
      <c r="E8" s="114"/>
      <c r="F8" s="117"/>
      <c r="G8" s="133" t="s">
        <v>338</v>
      </c>
      <c r="H8" s="139">
        <v>200</v>
      </c>
      <c r="I8" s="115"/>
      <c r="L8" s="133" t="s">
        <v>341</v>
      </c>
      <c r="M8" s="139">
        <v>3</v>
      </c>
    </row>
    <row r="9" spans="1:17" ht="14.4" x14ac:dyDescent="0.3">
      <c r="A9" s="116"/>
      <c r="B9" s="124"/>
      <c r="C9" s="125"/>
      <c r="D9" s="118"/>
      <c r="E9" s="114"/>
      <c r="F9" s="117"/>
      <c r="H9" s="140"/>
      <c r="I9" s="115"/>
      <c r="L9" s="133" t="s">
        <v>343</v>
      </c>
      <c r="M9" s="139">
        <v>1</v>
      </c>
    </row>
    <row r="10" spans="1:17" ht="14.4" x14ac:dyDescent="0.3">
      <c r="A10" s="116"/>
      <c r="B10" s="120" t="s">
        <v>324</v>
      </c>
      <c r="C10" s="123">
        <f>C8*C11</f>
        <v>0.03</v>
      </c>
      <c r="D10" s="136">
        <f>D6*C10</f>
        <v>54</v>
      </c>
      <c r="E10" s="114"/>
      <c r="F10" s="117"/>
      <c r="H10" s="115"/>
      <c r="I10" s="115"/>
      <c r="L10" s="133" t="s">
        <v>344</v>
      </c>
      <c r="M10" s="139">
        <v>2</v>
      </c>
    </row>
    <row r="11" spans="1:17" ht="14.4" x14ac:dyDescent="0.3">
      <c r="A11" s="116"/>
      <c r="B11" s="120" t="s">
        <v>330</v>
      </c>
      <c r="C11" s="126">
        <v>3</v>
      </c>
      <c r="D11" s="127"/>
      <c r="E11" s="114"/>
      <c r="F11" s="117"/>
      <c r="G11" s="133" t="s">
        <v>333</v>
      </c>
      <c r="H11" s="141">
        <v>19</v>
      </c>
      <c r="I11" s="115"/>
    </row>
    <row r="12" spans="1:17" ht="14.4" x14ac:dyDescent="0.3">
      <c r="A12" s="116"/>
      <c r="B12" s="120" t="s">
        <v>323</v>
      </c>
      <c r="C12" s="128"/>
      <c r="D12" s="135">
        <f>D10/C11</f>
        <v>18</v>
      </c>
      <c r="E12" s="114"/>
      <c r="F12" s="117"/>
      <c r="H12" s="115"/>
      <c r="I12" s="115"/>
    </row>
    <row r="13" spans="1:17" ht="14.4" x14ac:dyDescent="0.3">
      <c r="A13" s="116"/>
      <c r="B13" s="114"/>
      <c r="C13" s="114"/>
      <c r="D13" s="114"/>
      <c r="E13" s="114"/>
      <c r="F13" s="117"/>
      <c r="G13" s="133" t="s">
        <v>335</v>
      </c>
      <c r="H13" s="142">
        <v>0.65</v>
      </c>
      <c r="I13" s="115"/>
    </row>
    <row r="14" spans="1:17" ht="14.4" x14ac:dyDescent="0.3">
      <c r="A14" s="116"/>
      <c r="B14" s="133" t="s">
        <v>331</v>
      </c>
      <c r="C14" s="134">
        <f>C8*3</f>
        <v>0.03</v>
      </c>
      <c r="D14" s="139">
        <f>D6*C14</f>
        <v>54</v>
      </c>
      <c r="E14" s="114"/>
      <c r="F14" s="117"/>
      <c r="H14" s="115"/>
      <c r="I14" s="115"/>
    </row>
    <row r="15" spans="1:17" ht="14.4" x14ac:dyDescent="0.3">
      <c r="A15" s="116"/>
      <c r="B15" s="118"/>
      <c r="C15" s="118"/>
      <c r="D15" s="118"/>
      <c r="E15" s="114"/>
      <c r="F15" s="117"/>
      <c r="H15" s="115"/>
      <c r="I15" s="115"/>
    </row>
    <row r="16" spans="1:17" ht="14.4" x14ac:dyDescent="0.3">
      <c r="A16" s="116"/>
      <c r="B16" s="120" t="s">
        <v>325</v>
      </c>
      <c r="C16" s="129">
        <v>0.2</v>
      </c>
      <c r="D16" s="121"/>
      <c r="E16" s="114"/>
      <c r="F16" s="117"/>
      <c r="G16" s="133" t="s">
        <v>334</v>
      </c>
      <c r="H16" s="139">
        <f>H8*H11*H13</f>
        <v>2470</v>
      </c>
      <c r="I16" s="115"/>
    </row>
    <row r="17" spans="1:9" ht="14.4" x14ac:dyDescent="0.3">
      <c r="A17" s="116"/>
      <c r="B17" s="120" t="s">
        <v>326</v>
      </c>
      <c r="C17" s="130">
        <f>D8/C16</f>
        <v>90</v>
      </c>
      <c r="D17" s="121"/>
      <c r="E17" s="114"/>
      <c r="F17" s="117"/>
      <c r="G17" s="120" t="s">
        <v>336</v>
      </c>
      <c r="H17" s="136">
        <f>(1-H13)*H11*H8</f>
        <v>1330</v>
      </c>
      <c r="I17" s="115"/>
    </row>
    <row r="18" spans="1:9" ht="14.4" x14ac:dyDescent="0.3">
      <c r="A18" s="116"/>
      <c r="B18" s="131" t="s">
        <v>327</v>
      </c>
      <c r="C18" s="132">
        <f>C16*1</f>
        <v>0.2</v>
      </c>
      <c r="D18" s="137">
        <f>C18*C17</f>
        <v>18</v>
      </c>
      <c r="E18" s="114"/>
      <c r="F18" s="117"/>
      <c r="G18" s="120" t="s">
        <v>337</v>
      </c>
      <c r="H18" s="139">
        <f>H16-H17</f>
        <v>1140</v>
      </c>
      <c r="I18" s="115"/>
    </row>
    <row r="19" spans="1:9" ht="14.4" x14ac:dyDescent="0.3">
      <c r="A19" s="116"/>
      <c r="B19" s="131" t="s">
        <v>328</v>
      </c>
      <c r="C19" s="132">
        <f>C16*2</f>
        <v>0.4</v>
      </c>
      <c r="D19" s="137">
        <f>C17*C19</f>
        <v>36</v>
      </c>
      <c r="E19" s="114"/>
      <c r="F19" s="117"/>
      <c r="H19" s="115"/>
      <c r="I19" s="115"/>
    </row>
    <row r="20" spans="1:9" ht="14.4" x14ac:dyDescent="0.3">
      <c r="A20" s="116"/>
      <c r="B20" s="131" t="s">
        <v>329</v>
      </c>
      <c r="C20" s="132">
        <f>C16*3</f>
        <v>0.60000000000000009</v>
      </c>
      <c r="D20" s="137">
        <f>C17*C20</f>
        <v>54.000000000000007</v>
      </c>
      <c r="E20" s="114"/>
      <c r="F20" s="117"/>
      <c r="G20" s="133" t="s">
        <v>339</v>
      </c>
      <c r="H20" s="139">
        <f>H8/C14</f>
        <v>6666.666666666667</v>
      </c>
      <c r="I20" s="115"/>
    </row>
    <row r="21" spans="1:9" ht="13.8" x14ac:dyDescent="0.3">
      <c r="B21" s="114"/>
      <c r="C21" s="114"/>
      <c r="D21" s="114"/>
      <c r="E21" s="114"/>
      <c r="F21" s="117"/>
      <c r="H21" s="115"/>
      <c r="I21" s="115"/>
    </row>
    <row r="22" spans="1:9" ht="14.4" x14ac:dyDescent="0.3">
      <c r="B22" s="114"/>
      <c r="C22" s="114"/>
      <c r="D22" s="114"/>
      <c r="E22" s="114"/>
      <c r="F22" s="117"/>
      <c r="G22" s="143"/>
      <c r="H22" s="115"/>
      <c r="I22" s="115"/>
    </row>
    <row r="23" spans="1:9" ht="13.8" x14ac:dyDescent="0.3">
      <c r="B23" s="114"/>
      <c r="C23" s="114"/>
      <c r="D23" s="114"/>
      <c r="E23" s="114"/>
      <c r="F23" s="117"/>
      <c r="H23" s="115"/>
      <c r="I23" s="115"/>
    </row>
    <row r="24" spans="1:9" ht="13.8" x14ac:dyDescent="0.3">
      <c r="B24" s="114"/>
      <c r="C24" s="114"/>
      <c r="D24" s="114"/>
      <c r="E24" s="114"/>
      <c r="F24" s="117"/>
      <c r="H24" s="115"/>
      <c r="I24" s="115"/>
    </row>
    <row r="25" spans="1:9" ht="13.8" x14ac:dyDescent="0.3">
      <c r="B25" s="114"/>
      <c r="C25" s="114"/>
      <c r="D25" s="114"/>
      <c r="E25" s="114"/>
      <c r="F25" s="117"/>
      <c r="H25" s="115"/>
      <c r="I25" s="115"/>
    </row>
    <row r="26" spans="1:9" ht="15.75" customHeight="1" x14ac:dyDescent="0.3">
      <c r="F26" s="117"/>
      <c r="H26" s="115"/>
      <c r="I26" s="115"/>
    </row>
    <row r="27" spans="1:9" ht="15.75" customHeight="1" x14ac:dyDescent="0.3">
      <c r="F27" s="117"/>
      <c r="H27" s="115"/>
      <c r="I27" s="115"/>
    </row>
  </sheetData>
  <mergeCells count="2">
    <mergeCell ref="C3:E4"/>
    <mergeCell ref="L6:M6"/>
  </mergeCells>
  <hyperlinks>
    <hyperlink ref="C3" r:id="rId1" xr:uid="{7F11C3B4-3534-426F-A465-D718AA2C418D}"/>
  </hyperlinks>
  <pageMargins left="0.7" right="0.7" top="0.75" bottom="0.75" header="0.3" footer="0.3"/>
  <pageSetup orientation="portrait" r:id="rId2"/>
  <customProperties>
    <customPr name="_pios_id" r:id="rId3"/>
  </customPropertie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92AA-B5C4-4B47-9D80-E2F8ED5C16B1}">
  <dimension ref="A2:N21"/>
  <sheetViews>
    <sheetView workbookViewId="0">
      <selection activeCell="D5" sqref="D5"/>
    </sheetView>
  </sheetViews>
  <sheetFormatPr baseColWidth="10" defaultColWidth="11.44140625" defaultRowHeight="13.8" x14ac:dyDescent="0.25"/>
  <cols>
    <col min="1" max="1" width="12" style="149" customWidth="1"/>
    <col min="2" max="2" width="30.5546875" style="149" customWidth="1"/>
    <col min="3" max="3" width="12.44140625" style="149" customWidth="1"/>
    <col min="4" max="5" width="13" style="149" bestFit="1" customWidth="1"/>
    <col min="6" max="9" width="11.44140625" style="149"/>
    <col min="10" max="10" width="14.109375" style="149" bestFit="1" customWidth="1"/>
    <col min="11" max="16384" width="11.44140625" style="149"/>
  </cols>
  <sheetData>
    <row r="2" spans="1:4" ht="27.6" x14ac:dyDescent="0.25">
      <c r="A2" s="156" t="s">
        <v>355</v>
      </c>
      <c r="B2" s="158" t="s">
        <v>351</v>
      </c>
      <c r="C2" s="159" t="s">
        <v>356</v>
      </c>
      <c r="D2" s="156" t="s">
        <v>357</v>
      </c>
    </row>
    <row r="3" spans="1:4" x14ac:dyDescent="0.25">
      <c r="A3" s="149" t="s">
        <v>352</v>
      </c>
      <c r="B3" s="157">
        <f t="shared" ref="B3:B5" si="0">$B$6*C3</f>
        <v>7380</v>
      </c>
      <c r="C3" s="166">
        <v>0.20499999999999999</v>
      </c>
      <c r="D3" s="157">
        <f>$D$6*Tableau1[[#This Row],[Taux répartition]]</f>
        <v>95.53</v>
      </c>
    </row>
    <row r="4" spans="1:4" x14ac:dyDescent="0.25">
      <c r="A4" s="149" t="s">
        <v>353</v>
      </c>
      <c r="B4" s="157">
        <f t="shared" si="0"/>
        <v>6840</v>
      </c>
      <c r="C4" s="166">
        <v>0.19</v>
      </c>
      <c r="D4" s="157">
        <f>$D$6*Tableau1[[#This Row],[Taux répartition]]</f>
        <v>88.54</v>
      </c>
    </row>
    <row r="5" spans="1:4" ht="14.4" thickBot="1" x14ac:dyDescent="0.3">
      <c r="A5" s="149" t="s">
        <v>354</v>
      </c>
      <c r="B5" s="157">
        <f t="shared" si="0"/>
        <v>21780</v>
      </c>
      <c r="C5" s="166">
        <v>0.60499999999999998</v>
      </c>
      <c r="D5" s="157">
        <f>$D$6*Tableau1[[#This Row],[Taux répartition]]</f>
        <v>281.93</v>
      </c>
    </row>
    <row r="6" spans="1:4" ht="14.4" thickBot="1" x14ac:dyDescent="0.3">
      <c r="A6" s="156" t="s">
        <v>318</v>
      </c>
      <c r="B6" s="161">
        <v>36000</v>
      </c>
      <c r="C6" s="155">
        <f>SUM(C3:C5)</f>
        <v>1</v>
      </c>
      <c r="D6" s="161">
        <v>466</v>
      </c>
    </row>
    <row r="17" spans="4:14" x14ac:dyDescent="0.25">
      <c r="D17" s="164">
        <f>D20*F17</f>
        <v>7133.2401557214889</v>
      </c>
      <c r="E17" s="163">
        <f t="shared" ref="E17:E18" si="1">D17/$D$20</f>
        <v>0.2227327844789074</v>
      </c>
      <c r="F17" s="163">
        <v>0.2227327844789074</v>
      </c>
      <c r="J17" s="165">
        <v>7133.2401557214889</v>
      </c>
      <c r="K17" s="163">
        <f>J17/$J$20</f>
        <v>0.21598861974570002</v>
      </c>
      <c r="M17" s="149">
        <v>7280.7119999999995</v>
      </c>
      <c r="N17" s="163">
        <f>M17/$M$20</f>
        <v>0.20505004646971017</v>
      </c>
    </row>
    <row r="18" spans="4:14" x14ac:dyDescent="0.25">
      <c r="D18" s="164">
        <f>D20*F18</f>
        <v>6594.6703044227452</v>
      </c>
      <c r="E18" s="163">
        <f t="shared" si="1"/>
        <v>0.20591614014933945</v>
      </c>
      <c r="F18" s="163">
        <v>0.20591614014933945</v>
      </c>
      <c r="J18" s="165">
        <v>6594.6703044227452</v>
      </c>
      <c r="K18" s="163">
        <f>J18/$J$20</f>
        <v>0.19968116951561635</v>
      </c>
      <c r="M18" s="149">
        <v>6741.4000000000005</v>
      </c>
      <c r="N18" s="163">
        <f t="shared" ref="N18:N19" si="2">M18/$M$20</f>
        <v>0.18986115413862056</v>
      </c>
    </row>
    <row r="19" spans="4:14" x14ac:dyDescent="0.25">
      <c r="D19" s="164">
        <f>D20*F19</f>
        <v>18299.111494032804</v>
      </c>
      <c r="E19" s="163">
        <f>D19/$D$20</f>
        <v>0.57138298551279598</v>
      </c>
      <c r="F19" s="163">
        <v>0.57138298551279598</v>
      </c>
      <c r="J19" s="165">
        <v>19299.111494032801</v>
      </c>
      <c r="K19" s="163">
        <f>J19/$J$20</f>
        <v>0.58436115466701388</v>
      </c>
      <c r="M19" s="168">
        <f>19684.888+1800</f>
        <v>21484.887999999999</v>
      </c>
      <c r="N19" s="163">
        <f t="shared" si="2"/>
        <v>0.60508879939166926</v>
      </c>
    </row>
    <row r="20" spans="4:14" x14ac:dyDescent="0.25">
      <c r="D20" s="149">
        <v>32026</v>
      </c>
      <c r="J20" s="149">
        <v>33026</v>
      </c>
      <c r="M20" s="149">
        <f>SUM(M17:M19)</f>
        <v>35507</v>
      </c>
    </row>
    <row r="21" spans="4:14" x14ac:dyDescent="0.25">
      <c r="J21" s="165">
        <f>J20*17%/12</f>
        <v>467.86833333333334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C932-4CCC-4D5A-BA28-585451365B7E}">
  <dimension ref="A1:AL47"/>
  <sheetViews>
    <sheetView tabSelected="1" zoomScale="109" zoomScaleNormal="109" workbookViewId="0">
      <selection activeCell="H14" sqref="H14"/>
    </sheetView>
  </sheetViews>
  <sheetFormatPr baseColWidth="10" defaultColWidth="9.109375" defaultRowHeight="13.2" x14ac:dyDescent="0.25"/>
  <cols>
    <col min="1" max="1" width="16.109375" bestFit="1" customWidth="1"/>
    <col min="2" max="2" width="12.6640625" customWidth="1"/>
    <col min="3" max="3" width="14.88671875" customWidth="1"/>
    <col min="4" max="4" width="9.88671875" bestFit="1" customWidth="1"/>
    <col min="5" max="6" width="14.109375" bestFit="1" customWidth="1"/>
    <col min="7" max="7" width="13.33203125" bestFit="1" customWidth="1"/>
    <col min="8" max="8" width="10.88671875" bestFit="1" customWidth="1"/>
    <col min="9" max="9" width="11.33203125" customWidth="1"/>
    <col min="12" max="12" width="13.88671875" bestFit="1" customWidth="1"/>
    <col min="13" max="17" width="12.109375" bestFit="1" customWidth="1"/>
    <col min="18" max="19" width="12.109375" hidden="1" customWidth="1"/>
    <col min="20" max="20" width="13.33203125" hidden="1" customWidth="1"/>
    <col min="21" max="23" width="12.109375" hidden="1" customWidth="1"/>
    <col min="24" max="30" width="13.33203125" hidden="1" customWidth="1"/>
    <col min="31" max="31" width="13.33203125" bestFit="1" customWidth="1"/>
    <col min="32" max="38" width="10.5546875" bestFit="1" customWidth="1"/>
  </cols>
  <sheetData>
    <row r="1" spans="1:38" ht="13.8" thickBot="1" x14ac:dyDescent="0.3">
      <c r="L1" s="82" t="s">
        <v>319</v>
      </c>
    </row>
    <row r="2" spans="1:38" ht="26.4" x14ac:dyDescent="0.25">
      <c r="A2" s="110" t="s">
        <v>312</v>
      </c>
      <c r="B2" s="110" t="s">
        <v>305</v>
      </c>
      <c r="C2" s="111" t="s">
        <v>306</v>
      </c>
      <c r="D2" s="180" t="s">
        <v>307</v>
      </c>
      <c r="E2" s="180"/>
      <c r="F2" s="111" t="s">
        <v>308</v>
      </c>
      <c r="G2" s="111" t="s">
        <v>309</v>
      </c>
      <c r="H2" s="111" t="s">
        <v>316</v>
      </c>
      <c r="I2" s="111" t="s">
        <v>317</v>
      </c>
      <c r="L2" s="110" t="s">
        <v>312</v>
      </c>
      <c r="M2" s="112">
        <v>45231</v>
      </c>
      <c r="N2" s="112">
        <v>45261</v>
      </c>
      <c r="O2" s="112">
        <v>45292</v>
      </c>
      <c r="P2" s="112">
        <v>45323</v>
      </c>
      <c r="Q2" s="112">
        <v>45352</v>
      </c>
      <c r="R2" s="112">
        <v>45383</v>
      </c>
      <c r="S2" s="112">
        <v>45413</v>
      </c>
      <c r="T2" s="112">
        <v>45444</v>
      </c>
      <c r="U2" s="112">
        <v>45474</v>
      </c>
      <c r="V2" s="112">
        <v>45505</v>
      </c>
      <c r="W2" s="112">
        <v>45536</v>
      </c>
      <c r="X2" s="112">
        <v>45566</v>
      </c>
      <c r="Y2" s="112">
        <v>45597</v>
      </c>
      <c r="Z2" s="112">
        <v>45627</v>
      </c>
      <c r="AA2" s="112">
        <v>45658</v>
      </c>
      <c r="AB2" s="112">
        <v>45689</v>
      </c>
      <c r="AC2" s="112">
        <v>45717</v>
      </c>
      <c r="AD2" s="112">
        <v>45748</v>
      </c>
      <c r="AE2" s="112">
        <v>45778</v>
      </c>
      <c r="AF2" s="112">
        <v>45809</v>
      </c>
      <c r="AG2" s="112">
        <v>45839</v>
      </c>
      <c r="AH2" s="112">
        <v>45870</v>
      </c>
      <c r="AI2" s="112">
        <v>45901</v>
      </c>
      <c r="AJ2" s="112">
        <v>45931</v>
      </c>
      <c r="AK2" s="112">
        <v>45962</v>
      </c>
      <c r="AL2" s="112">
        <v>45992</v>
      </c>
    </row>
    <row r="3" spans="1:38" x14ac:dyDescent="0.25">
      <c r="A3" s="103" t="s">
        <v>346</v>
      </c>
      <c r="B3" s="144">
        <v>1055</v>
      </c>
      <c r="C3" s="99"/>
      <c r="D3" s="97">
        <v>0.08</v>
      </c>
      <c r="E3" s="152">
        <f>B3*D3/12</f>
        <v>7.0333333333333341</v>
      </c>
      <c r="F3" s="100"/>
      <c r="G3" s="101"/>
      <c r="H3" s="153">
        <v>8</v>
      </c>
      <c r="I3" s="54">
        <f t="shared" ref="I3:I8" si="0">H3/B3*12</f>
        <v>9.0995260663507105E-2</v>
      </c>
      <c r="L3" s="103" t="s">
        <v>346</v>
      </c>
      <c r="M3" s="152">
        <v>24</v>
      </c>
      <c r="N3" s="152">
        <v>218</v>
      </c>
      <c r="O3" s="152">
        <v>186</v>
      </c>
      <c r="P3" s="152">
        <v>96</v>
      </c>
      <c r="Q3" s="152">
        <v>80</v>
      </c>
      <c r="R3" s="152">
        <v>20</v>
      </c>
      <c r="S3" s="152">
        <v>8</v>
      </c>
      <c r="T3" s="152">
        <v>29</v>
      </c>
      <c r="U3" s="152">
        <v>0</v>
      </c>
      <c r="V3" s="152">
        <v>0</v>
      </c>
      <c r="W3" s="152">
        <v>0</v>
      </c>
      <c r="X3" s="152">
        <v>0</v>
      </c>
      <c r="Y3" s="152">
        <v>0</v>
      </c>
      <c r="Z3" s="152">
        <v>0</v>
      </c>
      <c r="AA3" s="152">
        <v>30</v>
      </c>
      <c r="AB3" s="152">
        <v>30</v>
      </c>
      <c r="AC3" s="152">
        <v>30</v>
      </c>
      <c r="AD3" s="152">
        <v>30</v>
      </c>
      <c r="AE3" s="152">
        <v>30</v>
      </c>
      <c r="AF3" s="152">
        <v>100</v>
      </c>
      <c r="AG3" s="152">
        <v>100</v>
      </c>
      <c r="AH3" s="152">
        <v>100</v>
      </c>
      <c r="AI3" s="152">
        <v>100</v>
      </c>
      <c r="AJ3" s="152">
        <v>10</v>
      </c>
      <c r="AK3" s="152">
        <v>10</v>
      </c>
      <c r="AL3" s="152">
        <v>8</v>
      </c>
    </row>
    <row r="4" spans="1:38" x14ac:dyDescent="0.25">
      <c r="A4" s="105" t="s">
        <v>310</v>
      </c>
      <c r="B4" s="160">
        <f>Lendermarket!B5</f>
        <v>21780</v>
      </c>
      <c r="C4" s="99"/>
      <c r="D4" s="97">
        <v>0.17</v>
      </c>
      <c r="E4" s="152">
        <v>287</v>
      </c>
      <c r="F4" s="100"/>
      <c r="G4" s="102"/>
      <c r="H4" s="162">
        <f>Lendermarket!D5</f>
        <v>281.93</v>
      </c>
      <c r="I4" s="54">
        <f t="shared" si="0"/>
        <v>0.15533333333333332</v>
      </c>
      <c r="L4" s="105" t="s">
        <v>310</v>
      </c>
      <c r="M4" s="152">
        <v>42</v>
      </c>
      <c r="N4" s="152">
        <v>148</v>
      </c>
      <c r="O4" s="152">
        <v>124</v>
      </c>
      <c r="P4" s="152">
        <v>276</v>
      </c>
      <c r="Q4" s="152">
        <v>176</v>
      </c>
      <c r="R4" s="152">
        <v>110</v>
      </c>
      <c r="S4" s="152">
        <v>217</v>
      </c>
      <c r="T4" s="152">
        <v>138</v>
      </c>
      <c r="U4" s="152">
        <v>188</v>
      </c>
      <c r="V4" s="152">
        <v>148</v>
      </c>
      <c r="W4" s="152">
        <v>105</v>
      </c>
      <c r="X4" s="152">
        <v>167</v>
      </c>
      <c r="Y4" s="152">
        <v>134</v>
      </c>
      <c r="Z4" s="152">
        <v>140</v>
      </c>
      <c r="AA4" s="152">
        <v>155</v>
      </c>
      <c r="AB4" s="152">
        <v>0</v>
      </c>
      <c r="AC4" s="152">
        <v>0</v>
      </c>
      <c r="AD4" s="152">
        <v>30</v>
      </c>
      <c r="AE4" s="153">
        <v>120</v>
      </c>
      <c r="AF4" s="153">
        <v>172</v>
      </c>
      <c r="AG4" s="153">
        <v>174</v>
      </c>
      <c r="AH4" s="153">
        <v>211</v>
      </c>
      <c r="AI4" s="153">
        <v>220</v>
      </c>
      <c r="AJ4" s="153">
        <v>287</v>
      </c>
      <c r="AK4" s="153">
        <v>272</v>
      </c>
      <c r="AL4" s="153">
        <v>282</v>
      </c>
    </row>
    <row r="5" spans="1:38" x14ac:dyDescent="0.25">
      <c r="A5" s="106" t="s">
        <v>345</v>
      </c>
      <c r="B5" s="144">
        <v>700</v>
      </c>
      <c r="C5" s="99"/>
      <c r="D5" s="97">
        <v>0.02</v>
      </c>
      <c r="E5" s="152">
        <f>B5*D5/12</f>
        <v>1.1666666666666667</v>
      </c>
      <c r="F5" s="100"/>
      <c r="G5" s="102"/>
      <c r="H5" s="153">
        <v>10</v>
      </c>
      <c r="I5" s="54"/>
      <c r="L5" s="106" t="s">
        <v>345</v>
      </c>
      <c r="M5" s="152">
        <v>3</v>
      </c>
      <c r="N5" s="152">
        <v>27</v>
      </c>
      <c r="O5" s="152">
        <v>33</v>
      </c>
      <c r="P5" s="152">
        <v>64</v>
      </c>
      <c r="Q5" s="152">
        <v>57</v>
      </c>
      <c r="R5" s="152">
        <v>51</v>
      </c>
      <c r="S5" s="152">
        <v>51</v>
      </c>
      <c r="T5" s="152">
        <v>0</v>
      </c>
      <c r="U5" s="152">
        <v>0</v>
      </c>
      <c r="V5" s="152">
        <v>0</v>
      </c>
      <c r="W5" s="152">
        <v>0</v>
      </c>
      <c r="X5" s="152">
        <v>0</v>
      </c>
      <c r="Y5" s="152">
        <v>0</v>
      </c>
      <c r="Z5" s="152">
        <v>15</v>
      </c>
      <c r="AA5" s="152">
        <v>92</v>
      </c>
      <c r="AB5" s="152">
        <v>92</v>
      </c>
      <c r="AC5" s="152">
        <v>90</v>
      </c>
      <c r="AD5" s="152">
        <v>50</v>
      </c>
      <c r="AE5" s="152">
        <v>32</v>
      </c>
      <c r="AF5" s="152">
        <v>34</v>
      </c>
      <c r="AG5" s="152">
        <v>26</v>
      </c>
      <c r="AH5" s="152">
        <v>25</v>
      </c>
      <c r="AI5" s="152">
        <v>25</v>
      </c>
      <c r="AJ5" s="152">
        <v>25</v>
      </c>
      <c r="AK5" s="152">
        <v>25</v>
      </c>
      <c r="AL5" s="152">
        <v>10</v>
      </c>
    </row>
    <row r="6" spans="1:38" x14ac:dyDescent="0.25">
      <c r="A6" s="107" t="s">
        <v>311</v>
      </c>
      <c r="B6" s="144">
        <v>206</v>
      </c>
      <c r="C6" s="99"/>
      <c r="D6" s="97">
        <v>0.14000000000000001</v>
      </c>
      <c r="E6" s="152">
        <f>B6*D6/12</f>
        <v>2.4033333333333338</v>
      </c>
      <c r="F6" s="100"/>
      <c r="G6" s="102"/>
      <c r="H6" s="153">
        <v>3</v>
      </c>
      <c r="I6" s="54">
        <f t="shared" si="0"/>
        <v>0.17475728155339806</v>
      </c>
      <c r="L6" s="107" t="s">
        <v>311</v>
      </c>
      <c r="M6" s="152">
        <v>35</v>
      </c>
      <c r="N6" s="152">
        <v>131</v>
      </c>
      <c r="O6" s="152">
        <v>165</v>
      </c>
      <c r="P6" s="152">
        <v>159</v>
      </c>
      <c r="Q6" s="152">
        <v>147</v>
      </c>
      <c r="R6" s="152">
        <v>150</v>
      </c>
      <c r="S6" s="152">
        <v>166</v>
      </c>
      <c r="T6" s="152">
        <v>153</v>
      </c>
      <c r="U6" s="152">
        <v>181</v>
      </c>
      <c r="V6" s="152">
        <v>147</v>
      </c>
      <c r="W6" s="152">
        <v>152</v>
      </c>
      <c r="X6" s="152">
        <v>157</v>
      </c>
      <c r="Y6" s="152">
        <v>199</v>
      </c>
      <c r="Z6" s="152">
        <v>190</v>
      </c>
      <c r="AA6" s="152">
        <v>200</v>
      </c>
      <c r="AB6" s="152">
        <v>131</v>
      </c>
      <c r="AC6" s="152">
        <v>121</v>
      </c>
      <c r="AD6" s="152">
        <v>105</v>
      </c>
      <c r="AE6" s="153">
        <v>22</v>
      </c>
      <c r="AF6" s="153">
        <v>23</v>
      </c>
      <c r="AG6" s="153">
        <v>10</v>
      </c>
      <c r="AH6" s="153">
        <v>3</v>
      </c>
      <c r="AI6" s="153">
        <v>0</v>
      </c>
      <c r="AJ6" s="153">
        <v>0</v>
      </c>
      <c r="AK6" s="153">
        <v>0</v>
      </c>
      <c r="AL6" s="153">
        <v>0</v>
      </c>
    </row>
    <row r="7" spans="1:38" x14ac:dyDescent="0.25">
      <c r="A7" s="113" t="s">
        <v>358</v>
      </c>
      <c r="B7" s="144">
        <v>5000</v>
      </c>
      <c r="C7" s="99"/>
      <c r="D7" s="97"/>
      <c r="E7" s="152">
        <f t="shared" ref="E7:E8" si="1">B7*D7/12</f>
        <v>0</v>
      </c>
      <c r="F7" s="100"/>
      <c r="G7" s="102"/>
      <c r="H7" s="153"/>
      <c r="I7" s="54"/>
      <c r="L7" s="113" t="s">
        <v>358</v>
      </c>
      <c r="M7" s="152">
        <v>0</v>
      </c>
      <c r="N7" s="152">
        <v>0</v>
      </c>
      <c r="O7" s="152">
        <v>0</v>
      </c>
      <c r="P7" s="152">
        <v>0</v>
      </c>
      <c r="Q7" s="152">
        <v>0</v>
      </c>
      <c r="R7" s="152">
        <v>0</v>
      </c>
      <c r="S7" s="152">
        <v>0</v>
      </c>
      <c r="T7" s="152">
        <v>0</v>
      </c>
      <c r="U7" s="152">
        <v>0</v>
      </c>
      <c r="V7" s="152">
        <v>0</v>
      </c>
      <c r="W7" s="152">
        <v>0</v>
      </c>
      <c r="X7" s="152">
        <v>0</v>
      </c>
      <c r="Y7" s="152">
        <v>0</v>
      </c>
      <c r="Z7" s="152">
        <v>0</v>
      </c>
      <c r="AA7" s="152">
        <v>0</v>
      </c>
      <c r="AB7" s="152">
        <v>0</v>
      </c>
      <c r="AC7" s="152">
        <v>0</v>
      </c>
      <c r="AD7" s="152">
        <v>0</v>
      </c>
      <c r="AE7" s="152">
        <v>0</v>
      </c>
      <c r="AF7" s="152">
        <v>0</v>
      </c>
      <c r="AG7" s="152">
        <v>0</v>
      </c>
      <c r="AH7" s="152">
        <v>0</v>
      </c>
      <c r="AI7" s="152">
        <v>0</v>
      </c>
      <c r="AJ7" s="152">
        <v>0</v>
      </c>
      <c r="AK7" s="152">
        <v>0</v>
      </c>
      <c r="AL7" s="152">
        <v>0</v>
      </c>
    </row>
    <row r="8" spans="1:38" ht="13.8" thickBot="1" x14ac:dyDescent="0.3">
      <c r="A8" s="109" t="s">
        <v>315</v>
      </c>
      <c r="B8" s="144">
        <v>54561</v>
      </c>
      <c r="C8" s="99"/>
      <c r="D8" s="97">
        <v>0.14410000000000001</v>
      </c>
      <c r="E8" s="152">
        <f t="shared" si="1"/>
        <v>655.18667500000004</v>
      </c>
      <c r="F8" s="100"/>
      <c r="G8" s="102"/>
      <c r="H8" s="153">
        <v>663.46</v>
      </c>
      <c r="I8" s="54">
        <f t="shared" si="0"/>
        <v>0.14591961291032057</v>
      </c>
      <c r="L8" s="104" t="s">
        <v>313</v>
      </c>
      <c r="M8" s="152">
        <v>245</v>
      </c>
      <c r="N8" s="152">
        <v>252</v>
      </c>
      <c r="O8" s="152">
        <v>253</v>
      </c>
      <c r="P8" s="152">
        <v>253</v>
      </c>
      <c r="Q8" s="152">
        <v>255</v>
      </c>
      <c r="R8" s="152">
        <v>240</v>
      </c>
      <c r="S8" s="152">
        <v>240</v>
      </c>
      <c r="T8" s="152">
        <v>240</v>
      </c>
      <c r="U8" s="152">
        <v>240</v>
      </c>
      <c r="V8" s="152">
        <v>240</v>
      </c>
      <c r="W8" s="152">
        <v>240</v>
      </c>
      <c r="X8" s="152">
        <v>240</v>
      </c>
      <c r="Y8" s="152">
        <v>250</v>
      </c>
      <c r="Z8" s="152">
        <v>250</v>
      </c>
      <c r="AA8" s="152">
        <v>250</v>
      </c>
      <c r="AB8" s="152">
        <v>250</v>
      </c>
      <c r="AC8" s="152">
        <v>220</v>
      </c>
      <c r="AD8" s="152">
        <v>220</v>
      </c>
      <c r="AE8" s="152">
        <v>220</v>
      </c>
      <c r="AF8" s="152">
        <v>220</v>
      </c>
      <c r="AG8" s="152">
        <v>220</v>
      </c>
      <c r="AH8" s="152">
        <v>220</v>
      </c>
      <c r="AI8" s="152">
        <v>30</v>
      </c>
      <c r="AJ8" s="152">
        <v>30</v>
      </c>
      <c r="AK8" s="152">
        <v>30</v>
      </c>
      <c r="AL8" s="152">
        <v>30</v>
      </c>
    </row>
    <row r="9" spans="1:38" ht="13.8" thickBot="1" x14ac:dyDescent="0.3">
      <c r="A9" s="92" t="s">
        <v>314</v>
      </c>
      <c r="B9" s="145">
        <f>SUM(B3:B8)</f>
        <v>83302</v>
      </c>
      <c r="C9" s="145">
        <f>747+C8</f>
        <v>747</v>
      </c>
      <c r="D9" s="98">
        <f>E9/B9*12</f>
        <v>0.13725336846654343</v>
      </c>
      <c r="E9" s="154">
        <f>SUM(E3:E8)</f>
        <v>952.79000833333339</v>
      </c>
      <c r="F9" s="148">
        <f>H9-C9</f>
        <v>219.3900000000001</v>
      </c>
      <c r="G9" s="96">
        <f>C9/B9*12</f>
        <v>0.10760846078125375</v>
      </c>
      <c r="H9" s="147">
        <f>SUM(H3:H8)</f>
        <v>966.3900000000001</v>
      </c>
      <c r="I9" s="94">
        <f>H9/B9*12</f>
        <v>0.13921250390146697</v>
      </c>
      <c r="J9" s="91"/>
      <c r="L9" s="109" t="s">
        <v>315</v>
      </c>
      <c r="M9" s="152">
        <v>4</v>
      </c>
      <c r="N9" s="152">
        <v>92</v>
      </c>
      <c r="O9" s="152">
        <v>154</v>
      </c>
      <c r="P9" s="152">
        <v>238</v>
      </c>
      <c r="Q9" s="152">
        <v>305</v>
      </c>
      <c r="R9" s="152">
        <v>338</v>
      </c>
      <c r="S9" s="152">
        <v>413</v>
      </c>
      <c r="T9" s="152">
        <v>401</v>
      </c>
      <c r="U9" s="152">
        <v>422</v>
      </c>
      <c r="V9" s="152">
        <v>415</v>
      </c>
      <c r="W9" s="152">
        <v>413</v>
      </c>
      <c r="X9" s="152">
        <v>464</v>
      </c>
      <c r="Y9" s="152">
        <v>509</v>
      </c>
      <c r="Z9" s="152">
        <v>674</v>
      </c>
      <c r="AA9" s="152">
        <v>675</v>
      </c>
      <c r="AB9" s="152">
        <v>602</v>
      </c>
      <c r="AC9" s="152">
        <v>512</v>
      </c>
      <c r="AD9" s="152">
        <v>539</v>
      </c>
      <c r="AE9" s="152">
        <v>611</v>
      </c>
      <c r="AF9" s="152">
        <v>694</v>
      </c>
      <c r="AG9" s="152">
        <v>730</v>
      </c>
      <c r="AH9" s="152">
        <v>663</v>
      </c>
      <c r="AI9" s="152">
        <v>729</v>
      </c>
      <c r="AJ9" s="152">
        <v>729</v>
      </c>
      <c r="AK9" s="152">
        <v>663</v>
      </c>
      <c r="AL9" s="152">
        <v>691</v>
      </c>
    </row>
    <row r="10" spans="1:38" ht="13.8" thickBot="1" x14ac:dyDescent="0.3">
      <c r="A10" s="104" t="s">
        <v>313</v>
      </c>
      <c r="B10" s="146">
        <v>32000</v>
      </c>
      <c r="C10" s="99"/>
      <c r="D10" s="97">
        <v>0.1043</v>
      </c>
      <c r="E10" s="152">
        <f>B10*D10/12</f>
        <v>278.13333333333333</v>
      </c>
      <c r="F10" s="100"/>
      <c r="G10" s="102"/>
      <c r="L10" s="93" t="s">
        <v>318</v>
      </c>
      <c r="M10" s="154">
        <f t="shared" ref="M10:AA10" si="2">SUM(M3:M9)</f>
        <v>353</v>
      </c>
      <c r="N10" s="154">
        <f t="shared" si="2"/>
        <v>868</v>
      </c>
      <c r="O10" s="154">
        <f t="shared" si="2"/>
        <v>915</v>
      </c>
      <c r="P10" s="154">
        <f t="shared" si="2"/>
        <v>1086</v>
      </c>
      <c r="Q10" s="154">
        <f t="shared" si="2"/>
        <v>1020</v>
      </c>
      <c r="R10" s="154">
        <f t="shared" si="2"/>
        <v>909</v>
      </c>
      <c r="S10" s="154">
        <f t="shared" si="2"/>
        <v>1095</v>
      </c>
      <c r="T10" s="154">
        <f t="shared" si="2"/>
        <v>961</v>
      </c>
      <c r="U10" s="154">
        <f t="shared" si="2"/>
        <v>1031</v>
      </c>
      <c r="V10" s="154">
        <f t="shared" si="2"/>
        <v>950</v>
      </c>
      <c r="W10" s="154">
        <f t="shared" si="2"/>
        <v>910</v>
      </c>
      <c r="X10" s="154">
        <f t="shared" si="2"/>
        <v>1028</v>
      </c>
      <c r="Y10" s="154">
        <f t="shared" si="2"/>
        <v>1092</v>
      </c>
      <c r="Z10" s="154">
        <f t="shared" si="2"/>
        <v>1269</v>
      </c>
      <c r="AA10" s="154">
        <f t="shared" si="2"/>
        <v>1402</v>
      </c>
      <c r="AB10" s="154">
        <f t="shared" ref="AB10:AF10" si="3">SUM(AB3:AB9)</f>
        <v>1105</v>
      </c>
      <c r="AC10" s="154">
        <f t="shared" si="3"/>
        <v>973</v>
      </c>
      <c r="AD10" s="154">
        <f t="shared" si="3"/>
        <v>974</v>
      </c>
      <c r="AE10" s="154">
        <f t="shared" si="3"/>
        <v>1035</v>
      </c>
      <c r="AF10" s="154">
        <f t="shared" si="3"/>
        <v>1243</v>
      </c>
      <c r="AG10" s="154">
        <f t="shared" ref="AG10:AH10" si="4">SUM(AG3:AG9)</f>
        <v>1260</v>
      </c>
      <c r="AH10" s="154">
        <f t="shared" si="4"/>
        <v>1222</v>
      </c>
      <c r="AI10" s="154">
        <f t="shared" ref="AI10:AJ10" si="5">SUM(AI3:AI9)</f>
        <v>1104</v>
      </c>
      <c r="AJ10" s="154">
        <f t="shared" si="5"/>
        <v>1081</v>
      </c>
      <c r="AK10" s="154">
        <f t="shared" ref="AK10:AL10" si="6">SUM(AK3:AK9)</f>
        <v>1000</v>
      </c>
      <c r="AL10" s="154">
        <f t="shared" si="6"/>
        <v>1021</v>
      </c>
    </row>
    <row r="11" spans="1:38" ht="13.8" thickBot="1" x14ac:dyDescent="0.3">
      <c r="A11" s="92" t="s">
        <v>349</v>
      </c>
      <c r="B11" s="145">
        <f>SUM(B9:B10)</f>
        <v>115302</v>
      </c>
      <c r="C11" s="148">
        <f>C9</f>
        <v>747</v>
      </c>
      <c r="D11" s="98">
        <f>E11/B11*12</f>
        <v>0.12810775268425525</v>
      </c>
      <c r="E11" s="154">
        <f>SUM(E9:E10)</f>
        <v>1230.9233416666666</v>
      </c>
      <c r="F11" s="148">
        <f>E11-C11</f>
        <v>483.9233416666666</v>
      </c>
      <c r="G11" s="94">
        <f>C11/B11*12</f>
        <v>7.7743664463756051E-2</v>
      </c>
    </row>
    <row r="12" spans="1:38" x14ac:dyDescent="0.25">
      <c r="A12" t="s">
        <v>350</v>
      </c>
      <c r="B12" s="146">
        <v>38300</v>
      </c>
    </row>
    <row r="13" spans="1:38" x14ac:dyDescent="0.25">
      <c r="A13" t="s">
        <v>348</v>
      </c>
      <c r="B13" s="146">
        <v>17700</v>
      </c>
    </row>
    <row r="14" spans="1:38" ht="13.8" thickBot="1" x14ac:dyDescent="0.3">
      <c r="A14" s="167" t="s">
        <v>7</v>
      </c>
      <c r="B14" s="146">
        <v>5200</v>
      </c>
    </row>
    <row r="15" spans="1:38" ht="13.8" thickBot="1" x14ac:dyDescent="0.3">
      <c r="A15" s="92" t="s">
        <v>347</v>
      </c>
      <c r="B15" s="145">
        <f>B11-B12-B13-B14</f>
        <v>54102</v>
      </c>
    </row>
    <row r="16" spans="1:38" x14ac:dyDescent="0.25">
      <c r="C16" s="95"/>
    </row>
    <row r="36" spans="1:38" x14ac:dyDescent="0.25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</row>
    <row r="37" spans="1:38" ht="13.8" thickBot="1" x14ac:dyDescent="0.3"/>
    <row r="38" spans="1:38" ht="13.8" thickBot="1" x14ac:dyDescent="0.3">
      <c r="L38" s="82" t="s">
        <v>305</v>
      </c>
      <c r="M38" s="46" t="s">
        <v>320</v>
      </c>
    </row>
    <row r="39" spans="1:38" x14ac:dyDescent="0.25">
      <c r="L39" s="110" t="s">
        <v>312</v>
      </c>
      <c r="M39" s="112">
        <v>45231</v>
      </c>
      <c r="N39" s="112">
        <v>45261</v>
      </c>
      <c r="O39" s="112">
        <v>45292</v>
      </c>
      <c r="P39" s="112">
        <v>45323</v>
      </c>
      <c r="Q39" s="112">
        <v>45352</v>
      </c>
      <c r="R39" s="112">
        <v>45383</v>
      </c>
      <c r="S39" s="112">
        <v>45413</v>
      </c>
      <c r="T39" s="112">
        <v>45444</v>
      </c>
      <c r="U39" s="112">
        <v>45474</v>
      </c>
      <c r="V39" s="112">
        <v>45505</v>
      </c>
      <c r="W39" s="112">
        <v>45536</v>
      </c>
      <c r="X39" s="112">
        <v>45566</v>
      </c>
      <c r="Y39" s="112">
        <v>45597</v>
      </c>
      <c r="Z39" s="112">
        <v>45627</v>
      </c>
      <c r="AA39" s="112">
        <v>45658</v>
      </c>
      <c r="AB39" s="112">
        <v>45689</v>
      </c>
      <c r="AC39" s="112">
        <v>45717</v>
      </c>
      <c r="AD39" s="112">
        <v>45748</v>
      </c>
      <c r="AE39" s="112">
        <v>45778</v>
      </c>
      <c r="AF39" s="112">
        <v>45809</v>
      </c>
      <c r="AG39" s="112">
        <v>45839</v>
      </c>
      <c r="AH39" s="112">
        <v>45870</v>
      </c>
      <c r="AI39" s="112">
        <v>45901</v>
      </c>
      <c r="AJ39" s="112">
        <v>45931</v>
      </c>
      <c r="AK39" s="112">
        <v>45962</v>
      </c>
      <c r="AL39" s="112">
        <v>45992</v>
      </c>
    </row>
    <row r="40" spans="1:38" x14ac:dyDescent="0.25">
      <c r="L40" s="103" t="s">
        <v>346</v>
      </c>
      <c r="M40" s="150">
        <v>25000</v>
      </c>
      <c r="N40" s="150">
        <v>10000</v>
      </c>
      <c r="O40" s="150">
        <v>5699</v>
      </c>
      <c r="P40" s="150">
        <v>5567</v>
      </c>
      <c r="Q40" s="150">
        <v>2598</v>
      </c>
      <c r="R40" s="150">
        <v>0</v>
      </c>
      <c r="S40" s="150">
        <v>1000</v>
      </c>
      <c r="T40" s="150">
        <v>1603</v>
      </c>
      <c r="U40" s="150">
        <v>1620</v>
      </c>
      <c r="V40" s="150">
        <v>1693</v>
      </c>
      <c r="W40" s="150">
        <v>207</v>
      </c>
      <c r="X40" s="150">
        <v>2191</v>
      </c>
      <c r="Y40" s="150">
        <v>2382</v>
      </c>
      <c r="Z40" s="150">
        <v>2382</v>
      </c>
      <c r="AA40" s="150">
        <v>15000</v>
      </c>
      <c r="AB40" s="150">
        <v>15000</v>
      </c>
      <c r="AC40" s="150">
        <v>14200</v>
      </c>
      <c r="AD40" s="150">
        <v>14200</v>
      </c>
      <c r="AE40" s="150">
        <v>14200</v>
      </c>
      <c r="AF40" s="150">
        <v>14200</v>
      </c>
      <c r="AG40" s="150">
        <v>14200</v>
      </c>
      <c r="AH40" s="150">
        <v>14200</v>
      </c>
      <c r="AI40" s="150">
        <v>10000</v>
      </c>
      <c r="AJ40" s="150">
        <v>1055</v>
      </c>
      <c r="AK40" s="150">
        <v>1055</v>
      </c>
      <c r="AL40" s="150">
        <v>1055</v>
      </c>
    </row>
    <row r="41" spans="1:38" x14ac:dyDescent="0.25">
      <c r="L41" s="105" t="s">
        <v>310</v>
      </c>
      <c r="M41" s="150">
        <v>14000</v>
      </c>
      <c r="N41" s="150">
        <v>14000</v>
      </c>
      <c r="O41" s="150">
        <v>12094</v>
      </c>
      <c r="P41" s="150">
        <v>12221</v>
      </c>
      <c r="Q41" s="150">
        <v>12397</v>
      </c>
      <c r="R41" s="150">
        <v>12275</v>
      </c>
      <c r="S41" s="150">
        <v>12084</v>
      </c>
      <c r="T41" s="150">
        <v>11754</v>
      </c>
      <c r="U41" s="150">
        <v>9126</v>
      </c>
      <c r="V41" s="150">
        <v>9274</v>
      </c>
      <c r="W41" s="150">
        <v>9379</v>
      </c>
      <c r="X41" s="150">
        <v>9546</v>
      </c>
      <c r="Y41" s="150">
        <v>10210</v>
      </c>
      <c r="Z41" s="150">
        <v>10210</v>
      </c>
      <c r="AA41" s="150">
        <v>12332</v>
      </c>
      <c r="AB41" s="150">
        <v>0</v>
      </c>
      <c r="AC41" s="150">
        <v>0</v>
      </c>
      <c r="AD41" s="150">
        <v>11700</v>
      </c>
      <c r="AE41" s="150">
        <v>12000</v>
      </c>
      <c r="AF41" s="150">
        <v>12543</v>
      </c>
      <c r="AG41" s="150">
        <v>12671</v>
      </c>
      <c r="AH41" s="150">
        <v>12906</v>
      </c>
      <c r="AI41" s="150">
        <v>12906</v>
      </c>
      <c r="AJ41" s="150">
        <v>19426</v>
      </c>
      <c r="AK41" s="150">
        <v>19685</v>
      </c>
      <c r="AL41" s="150">
        <v>21780</v>
      </c>
    </row>
    <row r="42" spans="1:38" x14ac:dyDescent="0.25">
      <c r="L42" s="106" t="s">
        <v>345</v>
      </c>
      <c r="M42" s="150">
        <v>2000</v>
      </c>
      <c r="N42" s="150">
        <v>4000</v>
      </c>
      <c r="O42" s="150">
        <v>5815</v>
      </c>
      <c r="P42" s="150">
        <v>5858</v>
      </c>
      <c r="Q42" s="150">
        <v>5915</v>
      </c>
      <c r="R42" s="150">
        <v>0</v>
      </c>
      <c r="S42" s="150">
        <v>0</v>
      </c>
      <c r="T42" s="150">
        <v>0</v>
      </c>
      <c r="U42" s="150">
        <v>2700</v>
      </c>
      <c r="V42" s="150">
        <v>3269</v>
      </c>
      <c r="W42" s="150">
        <v>3269</v>
      </c>
      <c r="X42" s="150">
        <v>0</v>
      </c>
      <c r="Y42" s="150">
        <v>3269</v>
      </c>
      <c r="Z42" s="150">
        <v>3269</v>
      </c>
      <c r="AA42" s="150">
        <v>39984</v>
      </c>
      <c r="AB42" s="150">
        <v>39984</v>
      </c>
      <c r="AC42" s="150">
        <v>36000</v>
      </c>
      <c r="AD42" s="150">
        <v>26500</v>
      </c>
      <c r="AE42" s="150">
        <v>27838</v>
      </c>
      <c r="AF42" s="150">
        <v>21000</v>
      </c>
      <c r="AG42" s="150">
        <v>19500</v>
      </c>
      <c r="AH42" s="150">
        <v>20700</v>
      </c>
      <c r="AI42" s="150">
        <v>13000</v>
      </c>
      <c r="AJ42" s="150">
        <v>6000</v>
      </c>
      <c r="AK42" s="150">
        <v>5000</v>
      </c>
      <c r="AL42" s="150">
        <v>700</v>
      </c>
    </row>
    <row r="43" spans="1:38" x14ac:dyDescent="0.25">
      <c r="L43" s="107" t="s">
        <v>311</v>
      </c>
      <c r="M43" s="150">
        <v>13000</v>
      </c>
      <c r="N43" s="150">
        <v>12500</v>
      </c>
      <c r="O43" s="150">
        <v>12087</v>
      </c>
      <c r="P43" s="150">
        <v>12170</v>
      </c>
      <c r="Q43" s="150">
        <v>12332</v>
      </c>
      <c r="R43" s="150">
        <v>13426</v>
      </c>
      <c r="S43" s="150">
        <v>13709</v>
      </c>
      <c r="T43" s="150">
        <v>13864</v>
      </c>
      <c r="U43" s="150">
        <v>14031</v>
      </c>
      <c r="V43" s="150">
        <v>14963</v>
      </c>
      <c r="W43" s="150">
        <v>15417</v>
      </c>
      <c r="X43" s="150">
        <v>18796</v>
      </c>
      <c r="Y43" s="150">
        <v>19047</v>
      </c>
      <c r="Z43" s="150">
        <v>19047</v>
      </c>
      <c r="AA43" s="150">
        <v>9769</v>
      </c>
      <c r="AB43" s="150">
        <v>9769</v>
      </c>
      <c r="AC43" s="150">
        <v>10015</v>
      </c>
      <c r="AD43" s="150">
        <v>3130</v>
      </c>
      <c r="AE43" s="150">
        <v>1332</v>
      </c>
      <c r="AF43" s="150">
        <v>894</v>
      </c>
      <c r="AG43" s="150">
        <v>904</v>
      </c>
      <c r="AH43" s="150">
        <v>247</v>
      </c>
      <c r="AI43" s="150">
        <v>247</v>
      </c>
      <c r="AJ43" s="150">
        <v>206</v>
      </c>
      <c r="AK43" s="150">
        <v>206</v>
      </c>
      <c r="AL43" s="150">
        <v>206</v>
      </c>
    </row>
    <row r="44" spans="1:38" x14ac:dyDescent="0.25">
      <c r="L44" s="104" t="s">
        <v>313</v>
      </c>
      <c r="M44" s="150">
        <v>31500</v>
      </c>
      <c r="N44" s="150">
        <v>31500</v>
      </c>
      <c r="O44" s="150">
        <v>29123</v>
      </c>
      <c r="P44" s="150">
        <v>29123</v>
      </c>
      <c r="Q44" s="150">
        <v>29395</v>
      </c>
      <c r="R44" s="150">
        <v>29800</v>
      </c>
      <c r="S44" s="150">
        <v>29500</v>
      </c>
      <c r="T44" s="150">
        <v>30147</v>
      </c>
      <c r="U44" s="150">
        <v>29377</v>
      </c>
      <c r="V44" s="150">
        <v>29500</v>
      </c>
      <c r="W44" s="150">
        <v>29700</v>
      </c>
      <c r="X44" s="150">
        <v>29700</v>
      </c>
      <c r="Y44" s="150">
        <v>29950</v>
      </c>
      <c r="Z44" s="150">
        <v>29950</v>
      </c>
      <c r="AA44" s="150">
        <v>29950</v>
      </c>
      <c r="AB44" s="150">
        <v>29950</v>
      </c>
      <c r="AC44" s="150">
        <v>29500</v>
      </c>
      <c r="AD44" s="150">
        <v>28000</v>
      </c>
      <c r="AE44" s="150">
        <v>28000</v>
      </c>
      <c r="AF44" s="150">
        <v>28000</v>
      </c>
      <c r="AG44" s="150">
        <v>28000</v>
      </c>
      <c r="AH44" s="150">
        <v>28000</v>
      </c>
      <c r="AI44" s="150">
        <v>32000</v>
      </c>
      <c r="AJ44" s="150">
        <v>32000</v>
      </c>
      <c r="AK44" s="150">
        <v>32000</v>
      </c>
      <c r="AL44" s="150">
        <v>32000</v>
      </c>
    </row>
    <row r="45" spans="1:38" x14ac:dyDescent="0.25">
      <c r="L45" s="113" t="s">
        <v>358</v>
      </c>
      <c r="M45" s="150">
        <v>0</v>
      </c>
      <c r="N45" s="150">
        <v>0</v>
      </c>
      <c r="O45" s="150">
        <v>0</v>
      </c>
      <c r="P45" s="150">
        <v>0</v>
      </c>
      <c r="Q45" s="150">
        <v>0</v>
      </c>
      <c r="R45" s="150">
        <v>0</v>
      </c>
      <c r="S45" s="150">
        <v>0</v>
      </c>
      <c r="T45" s="150">
        <v>8284</v>
      </c>
      <c r="U45" s="150">
        <v>7650</v>
      </c>
      <c r="V45" s="150">
        <v>6007</v>
      </c>
      <c r="W45" s="150">
        <v>6453</v>
      </c>
      <c r="X45" s="150">
        <v>6453</v>
      </c>
      <c r="Y45" s="150">
        <v>0</v>
      </c>
      <c r="Z45" s="150">
        <v>0</v>
      </c>
      <c r="AA45" s="150">
        <v>0</v>
      </c>
      <c r="AB45" s="150">
        <v>0</v>
      </c>
      <c r="AC45" s="150">
        <v>5000</v>
      </c>
      <c r="AD45" s="150">
        <v>0</v>
      </c>
      <c r="AE45" s="150">
        <v>0</v>
      </c>
      <c r="AF45" s="150">
        <v>0</v>
      </c>
      <c r="AG45" s="150">
        <v>0</v>
      </c>
      <c r="AH45" s="150">
        <v>0</v>
      </c>
      <c r="AI45" s="150">
        <v>700</v>
      </c>
      <c r="AJ45" s="150">
        <v>2000</v>
      </c>
      <c r="AK45" s="150">
        <v>0</v>
      </c>
      <c r="AL45" s="150">
        <v>5000</v>
      </c>
    </row>
    <row r="46" spans="1:38" ht="13.8" thickBot="1" x14ac:dyDescent="0.3">
      <c r="L46" s="109" t="s">
        <v>315</v>
      </c>
      <c r="M46" s="150">
        <v>0</v>
      </c>
      <c r="N46" s="150">
        <v>15000</v>
      </c>
      <c r="O46" s="150">
        <v>22986</v>
      </c>
      <c r="P46" s="150">
        <v>23334</v>
      </c>
      <c r="Q46" s="150">
        <v>27372</v>
      </c>
      <c r="R46" s="150">
        <v>34681</v>
      </c>
      <c r="S46" s="150">
        <v>34915</v>
      </c>
      <c r="T46" s="150">
        <v>34930</v>
      </c>
      <c r="U46" s="150">
        <v>32913</v>
      </c>
      <c r="V46" s="150">
        <v>32809</v>
      </c>
      <c r="W46" s="150">
        <v>32910</v>
      </c>
      <c r="X46" s="150">
        <v>43558</v>
      </c>
      <c r="Y46" s="150">
        <v>48513</v>
      </c>
      <c r="Z46" s="150">
        <v>49000</v>
      </c>
      <c r="AA46" s="150">
        <v>52994</v>
      </c>
      <c r="AB46" s="150">
        <v>52994</v>
      </c>
      <c r="AC46" s="150">
        <v>40642</v>
      </c>
      <c r="AD46" s="150">
        <v>51155</v>
      </c>
      <c r="AE46" s="150">
        <v>53701</v>
      </c>
      <c r="AF46" s="150">
        <v>60518</v>
      </c>
      <c r="AG46" s="150">
        <v>61336</v>
      </c>
      <c r="AH46" s="150">
        <v>61336</v>
      </c>
      <c r="AI46" s="150">
        <v>61339</v>
      </c>
      <c r="AJ46" s="150">
        <v>60341</v>
      </c>
      <c r="AK46" s="150">
        <v>60341</v>
      </c>
      <c r="AL46" s="150">
        <v>54561</v>
      </c>
    </row>
    <row r="47" spans="1:38" ht="13.8" thickBot="1" x14ac:dyDescent="0.3">
      <c r="L47" s="93" t="s">
        <v>318</v>
      </c>
      <c r="M47" s="151">
        <f t="shared" ref="M47:AA47" si="7">SUM(M40:M46)</f>
        <v>85500</v>
      </c>
      <c r="N47" s="151">
        <f t="shared" si="7"/>
        <v>87000</v>
      </c>
      <c r="O47" s="151">
        <f t="shared" si="7"/>
        <v>87804</v>
      </c>
      <c r="P47" s="151">
        <f t="shared" si="7"/>
        <v>88273</v>
      </c>
      <c r="Q47" s="151">
        <f t="shared" si="7"/>
        <v>90009</v>
      </c>
      <c r="R47" s="151">
        <f t="shared" si="7"/>
        <v>90182</v>
      </c>
      <c r="S47" s="151">
        <f t="shared" si="7"/>
        <v>91208</v>
      </c>
      <c r="T47" s="151">
        <f t="shared" si="7"/>
        <v>100582</v>
      </c>
      <c r="U47" s="151">
        <f t="shared" si="7"/>
        <v>97417</v>
      </c>
      <c r="V47" s="151">
        <f t="shared" si="7"/>
        <v>97515</v>
      </c>
      <c r="W47" s="151">
        <f t="shared" si="7"/>
        <v>97335</v>
      </c>
      <c r="X47" s="151">
        <f t="shared" si="7"/>
        <v>110244</v>
      </c>
      <c r="Y47" s="151">
        <f t="shared" si="7"/>
        <v>113371</v>
      </c>
      <c r="Z47" s="151">
        <f t="shared" si="7"/>
        <v>113858</v>
      </c>
      <c r="AA47" s="151">
        <f t="shared" si="7"/>
        <v>160029</v>
      </c>
      <c r="AB47" s="151">
        <f t="shared" ref="AB47:AF47" si="8">SUM(AB40:AB46)</f>
        <v>147697</v>
      </c>
      <c r="AC47" s="151">
        <f t="shared" si="8"/>
        <v>135357</v>
      </c>
      <c r="AD47" s="151">
        <f t="shared" si="8"/>
        <v>134685</v>
      </c>
      <c r="AE47" s="151">
        <f t="shared" si="8"/>
        <v>137071</v>
      </c>
      <c r="AF47" s="151">
        <f t="shared" si="8"/>
        <v>137155</v>
      </c>
      <c r="AG47" s="151">
        <f t="shared" ref="AG47:AH47" si="9">SUM(AG40:AG46)</f>
        <v>136611</v>
      </c>
      <c r="AH47" s="151">
        <f t="shared" si="9"/>
        <v>137389</v>
      </c>
      <c r="AI47" s="151">
        <f t="shared" ref="AI47:AJ47" si="10">SUM(AI40:AI46)</f>
        <v>130192</v>
      </c>
      <c r="AJ47" s="151">
        <f t="shared" si="10"/>
        <v>121028</v>
      </c>
      <c r="AK47" s="151">
        <f t="shared" ref="AK47:AL47" si="11">SUM(AK40:AK46)</f>
        <v>118287</v>
      </c>
      <c r="AL47" s="151">
        <f t="shared" si="11"/>
        <v>115302</v>
      </c>
    </row>
  </sheetData>
  <mergeCells count="1">
    <mergeCell ref="D2:E2"/>
  </mergeCells>
  <conditionalFormatting sqref="F9 F11">
    <cfRule type="cellIs" dxfId="1" priority="6" operator="greaterThan">
      <formula>0</formula>
    </cfRule>
  </conditionalFormatting>
  <conditionalFormatting sqref="F9">
    <cfRule type="cellIs" dxfId="0" priority="5" operator="lessThan">
      <formula>0</formula>
    </cfRule>
  </conditionalFormatting>
  <conditionalFormatting sqref="I3:I8">
    <cfRule type="colorScale" priority="1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200" verticalDpi="200" r:id="rId1"/>
  <headerFooter>
    <oddHeader>&amp;L&amp;"Calibri"&amp;10&amp;K000000General Information&amp;1#</oddHeader>
  </headerFooter>
  <customProperties>
    <customPr name="_pios_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da0bb6-5b36-478c-8175-ac1bd66e32d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131F7904E74445A693BEB81877E377" ma:contentTypeVersion="18" ma:contentTypeDescription="Create a new document." ma:contentTypeScope="" ma:versionID="ff450a7238cdac6a7eb379baaa653a59">
  <xsd:schema xmlns:xsd="http://www.w3.org/2001/XMLSchema" xmlns:xs="http://www.w3.org/2001/XMLSchema" xmlns:p="http://schemas.microsoft.com/office/2006/metadata/properties" xmlns:ns3="82da0bb6-5b36-478c-8175-ac1bd66e32d4" xmlns:ns4="ab46fa61-3207-424d-bb26-bea2d429b7b4" targetNamespace="http://schemas.microsoft.com/office/2006/metadata/properties" ma:root="true" ma:fieldsID="3bca390e58a111761290e896f196297c" ns3:_="" ns4:_="">
    <xsd:import namespace="82da0bb6-5b36-478c-8175-ac1bd66e32d4"/>
    <xsd:import namespace="ab46fa61-3207-424d-bb26-bea2d429b7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a0bb6-5b36-478c-8175-ac1bd66e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6fa61-3207-424d-bb26-bea2d429b7b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139D72-AD6B-4590-B264-FF74782771F3}">
  <ds:schemaRefs>
    <ds:schemaRef ds:uri="http://purl.org/dc/elements/1.1/"/>
    <ds:schemaRef ds:uri="http://schemas.microsoft.com/office/2006/metadata/properties"/>
    <ds:schemaRef ds:uri="http://purl.org/dc/terms/"/>
    <ds:schemaRef ds:uri="ab46fa61-3207-424d-bb26-bea2d429b7b4"/>
    <ds:schemaRef ds:uri="http://schemas.microsoft.com/office/2006/documentManagement/types"/>
    <ds:schemaRef ds:uri="82da0bb6-5b36-478c-8175-ac1bd66e32d4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4562E4-F9AF-47ED-98A8-6BC2D16E9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da0bb6-5b36-478c-8175-ac1bd66e32d4"/>
    <ds:schemaRef ds:uri="ab46fa61-3207-424d-bb26-bea2d429b7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B1F106-FDC7-42F5-B3D5-6B441B3985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RMM</vt:lpstr>
      <vt:lpstr>Plan investissement</vt:lpstr>
      <vt:lpstr>Propriétés interessantes</vt:lpstr>
      <vt:lpstr>Comparaison loyer</vt:lpstr>
      <vt:lpstr>Risk managment</vt:lpstr>
      <vt:lpstr>Lendermarket</vt:lpstr>
      <vt:lpstr>Emprunt -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QUINSON Nathanaël (EXT-RIC-CH)</dc:creator>
  <cp:lastModifiedBy>Nathanaël Marc Quinson</cp:lastModifiedBy>
  <dcterms:created xsi:type="dcterms:W3CDTF">2022-09-06T13:37:57Z</dcterms:created>
  <dcterms:modified xsi:type="dcterms:W3CDTF">2026-02-13T10:17:52Z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0x010100CE131F7904E74445A693BEB81877E377</vt:lpwstr>
  </property>
  <property fmtid="{D5CDD505-2E9C-101B-9397-08002B2CF9AE}" pid="3" name="CustomUiType">
    <vt:lpwstr>2</vt:lpwstr>
  </property>
  <property fmtid="{D5CDD505-2E9C-101B-9397-08002B2CF9AE}" pid="4" name="MSIP_Label_98a14748-72d4-4075-91da-a3aef68197d4_Enabled">
    <vt:lpwstr>true</vt:lpwstr>
  </property>
  <property fmtid="{D5CDD505-2E9C-101B-9397-08002B2CF9AE}" pid="5" name="MSIP_Label_98a14748-72d4-4075-91da-a3aef68197d4_SetDate">
    <vt:lpwstr>2024-01-30T17:10:33Z</vt:lpwstr>
  </property>
  <property fmtid="{D5CDD505-2E9C-101B-9397-08002B2CF9AE}" pid="6" name="MSIP_Label_98a14748-72d4-4075-91da-a3aef68197d4_Method">
    <vt:lpwstr>Standard</vt:lpwstr>
  </property>
  <property fmtid="{D5CDD505-2E9C-101B-9397-08002B2CF9AE}" pid="7" name="MSIP_Label_98a14748-72d4-4075-91da-a3aef68197d4_Name">
    <vt:lpwstr>Internal</vt:lpwstr>
  </property>
  <property fmtid="{D5CDD505-2E9C-101B-9397-08002B2CF9AE}" pid="8" name="MSIP_Label_98a14748-72d4-4075-91da-a3aef68197d4_SiteId">
    <vt:lpwstr>94b3f1b2-8b3a-49e3-ba33-8b8fb6d18361</vt:lpwstr>
  </property>
  <property fmtid="{D5CDD505-2E9C-101B-9397-08002B2CF9AE}" pid="9" name="MSIP_Label_98a14748-72d4-4075-91da-a3aef68197d4_ActionId">
    <vt:lpwstr>8045848c-895c-4086-a21c-d774751caa55</vt:lpwstr>
  </property>
  <property fmtid="{D5CDD505-2E9C-101B-9397-08002B2CF9AE}" pid="10" name="MSIP_Label_98a14748-72d4-4075-91da-a3aef68197d4_ContentBits">
    <vt:lpwstr>1</vt:lpwstr>
  </property>
</Properties>
</file>